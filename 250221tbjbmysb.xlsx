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firstSheet="6" activeTab="9"/>
  </bookViews>
  <sheets>
    <sheet name="部门财务收支预算总表01-1" sheetId="1" r:id="rId1"/>
    <sheet name="部门收入预算表01-2" sheetId="2" r:id="rId2"/>
    <sheet name="部门支出预算表01-3" sheetId="3" r:id="rId3"/>
    <sheet name="部门财政拨款收支预算总表02-1" sheetId="4" r:id="rId4"/>
    <sheet name="一般公共预算支出预算表02-2" sheetId="5" r:id="rId5"/>
    <sheet name="一般公共预算“三公”经费支出预算表03" sheetId="6" r:id="rId6"/>
    <sheet name="部门基本支出预算表04" sheetId="7" r:id="rId7"/>
    <sheet name="部门项目支出预算表05-1" sheetId="8" r:id="rId8"/>
    <sheet name="部门项目支出绩效目标表05-2" sheetId="9" r:id="rId9"/>
    <sheet name="部门政府性基金预算支出预算表06" sheetId="10" r:id="rId10"/>
    <sheet name="部门政府采购预算表07" sheetId="11" r:id="rId11"/>
    <sheet name="部门政府购买服务预算表08" sheetId="12" r:id="rId12"/>
    <sheet name="省对下转移支付预算表09-1" sheetId="13" r:id="rId13"/>
    <sheet name="省对下转移支付绩效目标表09-2" sheetId="14" r:id="rId14"/>
    <sheet name="新增资产配置表10" sheetId="15" r:id="rId15"/>
    <sheet name="中央转移支付补助项目支出预算表11" sheetId="16" r:id="rId16"/>
    <sheet name="部门项目中期规划预算表12"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<sst xmlns="http://schemas.openxmlformats.org/spreadsheetml/2006/main" count="3363" uniqueCount="951">
  <si>
    <t>预算01-1表</t>
  </si>
  <si>
    <t>2025年部门财务收支预算总表</t>
  </si>
  <si>
    <t>单位:元</t>
  </si>
  <si>
    <t>收        入</t>
  </si>
  <si>
    <t>支        出</t>
  </si>
  <si>
    <t>项      目</t>
  </si>
  <si>
    <t>预算数</t>
  </si>
  <si>
    <t>项目（按功能分类）</t>
  </si>
  <si>
    <t>一、一般公共预算拨款收入</t>
  </si>
  <si>
    <t>二、政府性基金预算拨款收入</t>
  </si>
  <si>
    <t>三、国有资本经营预算拨款收入</t>
  </si>
  <si>
    <t>四、财政专户管理资金收入</t>
  </si>
  <si>
    <t>五、单位资金</t>
  </si>
  <si>
    <t>1、事业收入</t>
  </si>
  <si>
    <t>2、事业单位经营收入</t>
  </si>
  <si>
    <t>3、上级补助收入</t>
  </si>
  <si>
    <t>4、附属单位上缴收入</t>
  </si>
  <si>
    <t>5、其他收入</t>
  </si>
  <si>
    <t>本年收入合计</t>
  </si>
  <si>
    <t>本年支出合计</t>
  </si>
  <si>
    <t>上年结转结余</t>
  </si>
  <si>
    <t>年终结转结余</t>
  </si>
  <si>
    <t>1、财政拨款结转结余</t>
  </si>
  <si>
    <t>2、使用非财政拨款结余</t>
  </si>
  <si>
    <t>2、非财政拨款结余</t>
  </si>
  <si>
    <t>收  入  总  计</t>
  </si>
  <si>
    <t>支 出 总 计</t>
  </si>
  <si>
    <t>预算01-2表</t>
  </si>
  <si>
    <t>2025年部门收入预算表</t>
  </si>
  <si>
    <t>部门（单位）代码</t>
  </si>
  <si>
    <t>部门（单位）名称</t>
  </si>
  <si>
    <t>合计</t>
  </si>
  <si>
    <t>本年收入</t>
  </si>
  <si>
    <t>小计</t>
  </si>
  <si>
    <t>一般公共预算</t>
  </si>
  <si>
    <t>政府性基金预算</t>
  </si>
  <si>
    <t>国有资本经营预算</t>
  </si>
  <si>
    <t>财政专户管理资金</t>
  </si>
  <si>
    <t>单位资金收入</t>
  </si>
  <si>
    <t>事业单位经营收入</t>
  </si>
  <si>
    <t>上级补助收入</t>
  </si>
  <si>
    <t>附属单位上缴收入</t>
  </si>
  <si>
    <t>其他收入</t>
  </si>
  <si>
    <t>使用非财政拨款结余</t>
  </si>
  <si>
    <t>事业收入</t>
  </si>
  <si>
    <t>129001</t>
  </si>
  <si>
    <t>云南省文化和旅游厅</t>
  </si>
  <si>
    <t>预算01-3表</t>
  </si>
  <si>
    <t>2025年部门支出预算表</t>
  </si>
  <si>
    <t>科目编码</t>
  </si>
  <si>
    <t>科目名称</t>
  </si>
  <si>
    <t>财政专户管理的支出</t>
  </si>
  <si>
    <t>单位资金</t>
  </si>
  <si>
    <t>事业支出</t>
  </si>
  <si>
    <t>事业单位
经营支出</t>
  </si>
  <si>
    <t>上级补助支出</t>
  </si>
  <si>
    <t>附属单位补助支出</t>
  </si>
  <si>
    <t>其他支出</t>
  </si>
  <si>
    <t>基本支出</t>
  </si>
  <si>
    <t>项目支出</t>
  </si>
  <si>
    <t>201</t>
  </si>
  <si>
    <t>一般公共服务支出</t>
  </si>
  <si>
    <t>20113</t>
  </si>
  <si>
    <t>商贸事务</t>
  </si>
  <si>
    <t>2011308</t>
  </si>
  <si>
    <t>招商引资</t>
  </si>
  <si>
    <t>207</t>
  </si>
  <si>
    <t>文化旅游体育与传媒支出</t>
  </si>
  <si>
    <t>20701</t>
  </si>
  <si>
    <t>文化和旅游</t>
  </si>
  <si>
    <t>2070101</t>
  </si>
  <si>
    <t>行政运行</t>
  </si>
  <si>
    <t>2070108</t>
  </si>
  <si>
    <t>文化活动</t>
  </si>
  <si>
    <t>2070109</t>
  </si>
  <si>
    <t>群众文化</t>
  </si>
  <si>
    <t>2070110</t>
  </si>
  <si>
    <t>文化和旅游交流与合作</t>
  </si>
  <si>
    <t>2070111</t>
  </si>
  <si>
    <t>文化创作与保护</t>
  </si>
  <si>
    <t>2070112</t>
  </si>
  <si>
    <t>文化和旅游市场管理</t>
  </si>
  <si>
    <t>2070113</t>
  </si>
  <si>
    <t>旅游宣传</t>
  </si>
  <si>
    <t>2070114</t>
  </si>
  <si>
    <t>文化和旅游管理事务</t>
  </si>
  <si>
    <t>2070199</t>
  </si>
  <si>
    <t>其他文化和旅游支出</t>
  </si>
  <si>
    <t>20702</t>
  </si>
  <si>
    <t>文物</t>
  </si>
  <si>
    <t>2070204</t>
  </si>
  <si>
    <t>文物保护</t>
  </si>
  <si>
    <t>208</t>
  </si>
  <si>
    <t>社会保障和就业支出</t>
  </si>
  <si>
    <t>20805</t>
  </si>
  <si>
    <t>行政事业单位养老支出</t>
  </si>
  <si>
    <t>2080501</t>
  </si>
  <si>
    <t>行政单位离退休</t>
  </si>
  <si>
    <t>2080505</t>
  </si>
  <si>
    <t>机关事业单位基本养老保险缴费支出</t>
  </si>
  <si>
    <t>20899</t>
  </si>
  <si>
    <t>其他社会保障和就业支出</t>
  </si>
  <si>
    <t>2089999</t>
  </si>
  <si>
    <t>210</t>
  </si>
  <si>
    <t>卫生健康支出</t>
  </si>
  <si>
    <t>21011</t>
  </si>
  <si>
    <t>行政事业单位医疗</t>
  </si>
  <si>
    <t>2101101</t>
  </si>
  <si>
    <t>行政单位医疗</t>
  </si>
  <si>
    <t>2101103</t>
  </si>
  <si>
    <t>公务员医疗补助</t>
  </si>
  <si>
    <t>2101199</t>
  </si>
  <si>
    <t>其他行政事业单位医疗支出</t>
  </si>
  <si>
    <t>221</t>
  </si>
  <si>
    <t>住房保障支出</t>
  </si>
  <si>
    <t>22102</t>
  </si>
  <si>
    <t>住房改革支出</t>
  </si>
  <si>
    <t>2210201</t>
  </si>
  <si>
    <t>住房公积金</t>
  </si>
  <si>
    <t>合  计</t>
  </si>
  <si>
    <t>预算02-1表</t>
  </si>
  <si>
    <t>2025年部门财政拨款收支预算总表</t>
  </si>
  <si>
    <t>支出功能分类科目</t>
  </si>
  <si>
    <t>一、本年收入</t>
  </si>
  <si>
    <t>一、本年支出</t>
  </si>
  <si>
    <t>（一）一般公共预算拨款</t>
  </si>
  <si>
    <t>（二）政府性基金预算拨款</t>
  </si>
  <si>
    <t>（三）国有资本经营预算拨款</t>
  </si>
  <si>
    <t>二、上年结转</t>
  </si>
  <si>
    <t>二、年终结转结余</t>
  </si>
  <si>
    <t>收 入 总 计</t>
  </si>
  <si>
    <t>预算02-2表</t>
  </si>
  <si>
    <t>2025年一般公共预算支出预算表（按功能科目分类）</t>
  </si>
  <si>
    <t>部门预算支出功能分类科目</t>
  </si>
  <si>
    <t>人员经费</t>
  </si>
  <si>
    <t>公用经费</t>
  </si>
  <si>
    <t>1</t>
  </si>
  <si>
    <t>2</t>
  </si>
  <si>
    <t>3</t>
  </si>
  <si>
    <t>4</t>
  </si>
  <si>
    <t>5</t>
  </si>
  <si>
    <t>6</t>
  </si>
  <si>
    <t>预算03表</t>
  </si>
  <si>
    <t>2025年一般公共预算“三公”经费支出预算表</t>
  </si>
  <si>
    <t>单位：元</t>
  </si>
  <si>
    <t>“三公”经费合计</t>
  </si>
  <si>
    <t>因公出国（境）费</t>
  </si>
  <si>
    <t>公务用车购置及运行费</t>
  </si>
  <si>
    <t>公务接待费</t>
  </si>
  <si>
    <t>公务用车购置费</t>
  </si>
  <si>
    <t>公务用车运行费</t>
  </si>
  <si>
    <t>预算04表</t>
  </si>
  <si>
    <t>2025年部门基本支出预算表</t>
  </si>
  <si>
    <t>单位名称</t>
  </si>
  <si>
    <t>项目代码</t>
  </si>
  <si>
    <t>项目名称</t>
  </si>
  <si>
    <t>功能科目编码</t>
  </si>
  <si>
    <t>功能科目名称</t>
  </si>
  <si>
    <t>经济科目编码</t>
  </si>
  <si>
    <t>经济科目名称</t>
  </si>
  <si>
    <t>资金来源</t>
  </si>
  <si>
    <t>财政拨款结转结余</t>
  </si>
  <si>
    <t>全年数</t>
  </si>
  <si>
    <t>已提前安排</t>
  </si>
  <si>
    <t>抵扣上年垫付资金</t>
  </si>
  <si>
    <t>本次下达</t>
  </si>
  <si>
    <t>另文下达</t>
  </si>
  <si>
    <t>事业单位
经营收入</t>
  </si>
  <si>
    <t>530000210000000043070</t>
  </si>
  <si>
    <t>行政人员支出工资</t>
  </si>
  <si>
    <t>30101</t>
  </si>
  <si>
    <t>基本工资</t>
  </si>
  <si>
    <t>30102</t>
  </si>
  <si>
    <t>津贴补贴</t>
  </si>
  <si>
    <t>30103</t>
  </si>
  <si>
    <t>奖金</t>
  </si>
  <si>
    <t>530000210000000043072</t>
  </si>
  <si>
    <t>社会保障缴费</t>
  </si>
  <si>
    <t>30108</t>
  </si>
  <si>
    <t>机关事业单位基本养老保险缴费</t>
  </si>
  <si>
    <t>30112</t>
  </si>
  <si>
    <t>其他社会保障缴费</t>
  </si>
  <si>
    <t>30110</t>
  </si>
  <si>
    <t>职工基本医疗保险缴费</t>
  </si>
  <si>
    <t>30307</t>
  </si>
  <si>
    <t>医疗费补助</t>
  </si>
  <si>
    <t>30111</t>
  </si>
  <si>
    <t>公务员医疗补助缴费</t>
  </si>
  <si>
    <t>530000210000000043074</t>
  </si>
  <si>
    <t>30113</t>
  </si>
  <si>
    <t>530000210000000043077</t>
  </si>
  <si>
    <t>公车购置及运维费</t>
  </si>
  <si>
    <t>30231</t>
  </si>
  <si>
    <t>公务用车运行维护费</t>
  </si>
  <si>
    <t>530000210000000043079</t>
  </si>
  <si>
    <t>30217</t>
  </si>
  <si>
    <t>530000210000000043080</t>
  </si>
  <si>
    <t>行政人员公务交通补贴</t>
  </si>
  <si>
    <t>30239</t>
  </si>
  <si>
    <t>其他交通费用</t>
  </si>
  <si>
    <t>530000210000000043081</t>
  </si>
  <si>
    <t>工会经费</t>
  </si>
  <si>
    <t>30228</t>
  </si>
  <si>
    <t>530000210000000043082</t>
  </si>
  <si>
    <t>一般公用经费</t>
  </si>
  <si>
    <t>30201</t>
  </si>
  <si>
    <t>办公费</t>
  </si>
  <si>
    <t>30202</t>
  </si>
  <si>
    <t>印刷费</t>
  </si>
  <si>
    <t>30205</t>
  </si>
  <si>
    <t>水费</t>
  </si>
  <si>
    <t>30206</t>
  </si>
  <si>
    <t>电费</t>
  </si>
  <si>
    <t>30207</t>
  </si>
  <si>
    <t>邮电费</t>
  </si>
  <si>
    <t>30209</t>
  </si>
  <si>
    <t>物业管理费</t>
  </si>
  <si>
    <t>30211</t>
  </si>
  <si>
    <t>差旅费</t>
  </si>
  <si>
    <t>30213</t>
  </si>
  <si>
    <t>维修（护）费</t>
  </si>
  <si>
    <t>30215</t>
  </si>
  <si>
    <t>会议费</t>
  </si>
  <si>
    <t>30216</t>
  </si>
  <si>
    <t>培训费</t>
  </si>
  <si>
    <t>30226</t>
  </si>
  <si>
    <t>劳务费</t>
  </si>
  <si>
    <t>30229</t>
  </si>
  <si>
    <t>福利费</t>
  </si>
  <si>
    <t>30299</t>
  </si>
  <si>
    <t>其他商品和服务支出</t>
  </si>
  <si>
    <t>31002</t>
  </si>
  <si>
    <t>办公设备购置</t>
  </si>
  <si>
    <t>530000241100002221196</t>
  </si>
  <si>
    <t>行政人员绩效奖</t>
  </si>
  <si>
    <t>预算05-1表</t>
  </si>
  <si>
    <t>2025年部门项目支出预算表</t>
  </si>
  <si>
    <t>项目分类</t>
  </si>
  <si>
    <t>项目单位</t>
  </si>
  <si>
    <t>本年拨款</t>
  </si>
  <si>
    <t>其中：本次下达</t>
  </si>
  <si>
    <t>2024年第二批云南省决策咨询研究课题经费</t>
  </si>
  <si>
    <t>专项业务类</t>
  </si>
  <si>
    <t>530000241100003346041</t>
  </si>
  <si>
    <t>30227</t>
  </si>
  <si>
    <t>委托业务费</t>
  </si>
  <si>
    <t>2024年云南省决策咨询研究课题经费</t>
  </si>
  <si>
    <t>事业发展类</t>
  </si>
  <si>
    <t>530000241100003064706</t>
  </si>
  <si>
    <t>（云南省产业主抓部门）招商引资专项经费</t>
  </si>
  <si>
    <t>530000231100001716823</t>
  </si>
  <si>
    <t>部门预算机动经费</t>
  </si>
  <si>
    <t>其他运转类</t>
  </si>
  <si>
    <t>530000241100002014918</t>
  </si>
  <si>
    <t>导游成本性补偿支出专项经费</t>
  </si>
  <si>
    <t>530000200000000004295</t>
  </si>
  <si>
    <t>非物质文化遗产保护专项经费</t>
  </si>
  <si>
    <t>530000200000000007984</t>
  </si>
  <si>
    <t>30214</t>
  </si>
  <si>
    <t>租赁费</t>
  </si>
  <si>
    <t>公共文化服务体系建设专项经费</t>
  </si>
  <si>
    <t>530000200000000007917</t>
  </si>
  <si>
    <t>购买公共文化服务专项经费</t>
  </si>
  <si>
    <t>530000241100002999166</t>
  </si>
  <si>
    <t>金边中国文化中心运营经费</t>
  </si>
  <si>
    <t>530000241100002036748</t>
  </si>
  <si>
    <t>旅游高质量发展（省本级）专项资金</t>
  </si>
  <si>
    <t>530000231100001105776</t>
  </si>
  <si>
    <t>31007</t>
  </si>
  <si>
    <t>信息网络及软件购置更新</t>
  </si>
  <si>
    <t>缅甸中国文化中心运行业务活动专项经费</t>
  </si>
  <si>
    <t>530000200000000001748</t>
  </si>
  <si>
    <t>省级重大重点题材创作扶持专项资金</t>
  </si>
  <si>
    <t>530000221100000189687</t>
  </si>
  <si>
    <t>省级重点文物保护专项经费</t>
  </si>
  <si>
    <t>530000200000000002711</t>
  </si>
  <si>
    <t>省文旅厅非税收入成本性支出经费</t>
  </si>
  <si>
    <t>530000251100003278837</t>
  </si>
  <si>
    <t>文旅其他收入专项资金</t>
  </si>
  <si>
    <t>530000231100001096388</t>
  </si>
  <si>
    <t>因公出国（境）专项经费</t>
  </si>
  <si>
    <t>因公出国（境）经费</t>
  </si>
  <si>
    <t>530000200000000011218</t>
  </si>
  <si>
    <t>30212</t>
  </si>
  <si>
    <t>因公出国（境）费用</t>
  </si>
  <si>
    <t>政务信息化运维服务项目（旅游高质量）补助资金</t>
  </si>
  <si>
    <t>专业信息系统运行维护费</t>
  </si>
  <si>
    <t>530000251100003278853</t>
  </si>
  <si>
    <t>预算05-2表</t>
  </si>
  <si>
    <t>2025年部门项目支出绩效目标表</t>
  </si>
  <si>
    <t>单位名称、项目名称</t>
  </si>
  <si>
    <t>项目年度绩效目标</t>
  </si>
  <si>
    <t>一级指标</t>
  </si>
  <si>
    <t>二级指标</t>
  </si>
  <si>
    <t>三级指标</t>
  </si>
  <si>
    <t>指标性质</t>
  </si>
  <si>
    <t>指标值</t>
  </si>
  <si>
    <t>度量单位</t>
  </si>
  <si>
    <t>指标属性</t>
  </si>
  <si>
    <t>指标内容</t>
  </si>
  <si>
    <t>配合完成文化志愿者、非遗宣传、对外交流等不少于4项工作任务，按时完成工作任务，及时转拨资金。</t>
  </si>
  <si>
    <t>产出指标</t>
  </si>
  <si>
    <t>数量指标</t>
  </si>
  <si>
    <t>配合完成文旅部工作任务</t>
  </si>
  <si>
    <t>&gt;=</t>
  </si>
  <si>
    <t>个</t>
  </si>
  <si>
    <t>定量指标</t>
  </si>
  <si>
    <t>配合完成文化志愿者、非遗宣传、市场执法、对外交流等不少于4项工作任务</t>
  </si>
  <si>
    <t>时效指标</t>
  </si>
  <si>
    <t>按时完成文旅部工作任务</t>
  </si>
  <si>
    <t>=</t>
  </si>
  <si>
    <t>按时</t>
  </si>
  <si>
    <t>是/否</t>
  </si>
  <si>
    <t>定性指标</t>
  </si>
  <si>
    <t>效益指标</t>
  </si>
  <si>
    <t>社会效益</t>
  </si>
  <si>
    <t>参与活动人数</t>
  </si>
  <si>
    <t>1000</t>
  </si>
  <si>
    <t>人次</t>
  </si>
  <si>
    <t>参与文化志愿者、非遗宣传、市场执法、对外交流等工作人数</t>
  </si>
  <si>
    <t>满意度指标</t>
  </si>
  <si>
    <t>服务对象满意度</t>
  </si>
  <si>
    <t>活动参与人员满意度</t>
  </si>
  <si>
    <t>80</t>
  </si>
  <si>
    <t>%</t>
  </si>
  <si>
    <t>参与文化志愿者、非遗宣传、市场执法、对外交流等工作人员满意度</t>
  </si>
  <si>
    <t>一是实现公共文化服务全覆盖，首先是通过开展“文化大篷车 千乡万里行”等形式多样的文化惠民活动，覆盖16个州市，大力发展城乡流动文化服务,极大缓解广大基层群众看戏难的问题，丰富广大基层群众的精神和文化生活。其次是加快推进以边境“文化睦邻示范区”、边境“国门文化”交流中心、边境“国门文化友谊广场”“国门书社”等为主要阵地的边境“国门文化”建设，充分发挥县、乡、村公共文化设施、资源、组织体系等优势，推进与新时代文明实践中心融合发展。
二是加强艺术普及，创建群众文化品牌建设，通过开展“2025年群众文化系列活动项目”、“彩云奖”优秀作品巡演及提升打造，发挥“群星奖”“彩云奖”等示范作用，推动创作更多有力量有筋骨、有温度的群众文艺精品，打造“云南民族团结进步大舞台”品牌，切实推动全民艺术普及，使艺术融入日常生活，使生活更具审美品味。
三是引导社会参与，拓宽公共服务路径。通过向社会力量购买公共文化服务工作，制定社会力量参与公共文化服务的绩效评价办法、评估标准，提高公共文化服务专项资金使用效益，推动云南省公共文化服务高质量发展。
四是促进志愿服务，壮大公共文化服务队伍，通过开展全省文化和旅游志愿服务工作进一步擦亮云南旅游金字招牌，树立“七彩云南 旅游天堂 世界花园”美好形象，有效整合全省志愿服务项目资源，巩固文旅志愿服务平台建设成果，积极推动我省文化和旅游青年志愿服务工作制度化、规范化、常态化、信息化发展。
五是支持戏曲演出，弘扬中华民族优秀传统文化。通过开展2025年新年戏曲晚会、云南省迎新春茶话会等活动，展示云南戏曲独特魅力，培养锻炼戏曲人才，丰富人民群众精神文化生活，同时赴全国参加重大展演赛事活动精品剧目推广、开展第十八届云南省新剧（节）目展演，向全国展现云南艺术精品，同各省市开展业务交流，打造云南文化品牌。</t>
  </si>
  <si>
    <t>社会公开招标购买公共文化演出场次(大篷车）</t>
  </si>
  <si>
    <t>场</t>
  </si>
  <si>
    <t>社会公开招标购买公共文化演出场次</t>
  </si>
  <si>
    <t>省级国有文艺院团演出场次(大篷车）</t>
  </si>
  <si>
    <t>300</t>
  </si>
  <si>
    <t>全省艺术创作工作会开展次数</t>
  </si>
  <si>
    <t>1.00</t>
  </si>
  <si>
    <t>次</t>
  </si>
  <si>
    <t>全省艺术创作工作会开展情况</t>
  </si>
  <si>
    <t>2025年新年戏曲晚会开展次数</t>
  </si>
  <si>
    <t>2025年新年戏曲晚会举办情况</t>
  </si>
  <si>
    <t>建设云南省艺术名家工作室数量</t>
  </si>
  <si>
    <t>艺术名家工作室数量</t>
  </si>
  <si>
    <t>参加全国性重大展演赛事活动精品剧目推广</t>
  </si>
  <si>
    <t xml:space="preserve">参加全国性重大展演赛事活动精品剧目推广的数量
</t>
  </si>
  <si>
    <t>2025年迎春茶话会</t>
  </si>
  <si>
    <t xml:space="preserve">2025年迎春茶话会举办情况
</t>
  </si>
  <si>
    <t>新剧目展演作品</t>
  </si>
  <si>
    <t>20</t>
  </si>
  <si>
    <t xml:space="preserve">反映新剧目展演作品的数量情况。
</t>
  </si>
  <si>
    <t>项目完成及时性</t>
  </si>
  <si>
    <t>&lt;=</t>
  </si>
  <si>
    <t>2025年12月31日</t>
  </si>
  <si>
    <t>反映项目完成及时性</t>
  </si>
  <si>
    <t>公共文化服务覆盖率</t>
  </si>
  <si>
    <t>100</t>
  </si>
  <si>
    <t>反映公共文化覆盖情况</t>
  </si>
  <si>
    <t>2025年云南省民族团结进步大舞台系列活动观众人数</t>
  </si>
  <si>
    <t>20000</t>
  </si>
  <si>
    <t>人</t>
  </si>
  <si>
    <t>观众人数</t>
  </si>
  <si>
    <t>观众满意度</t>
  </si>
  <si>
    <t>95</t>
  </si>
  <si>
    <t>反映开展演出观众的满意度。</t>
  </si>
  <si>
    <t>参与调研群众满意度</t>
  </si>
  <si>
    <t>被调研人员满意度</t>
  </si>
  <si>
    <t>通过设立省级重大重点题材创作扶持资金，进一步加大对国有文艺院团资金扶持力度，支持国有文艺院团深化改革，提升创作生产能力，扶持地方戏剧，繁荣发展舞台艺术。年度资助省级重大重点题材的剧（节）目4个以上、国家级奖励或资助的剧目1个以上、入选参加全国重大艺术赛事活动数量2个以上；</t>
  </si>
  <si>
    <t>荣获国家级奖励或资助的剧目数量</t>
  </si>
  <si>
    <t>项</t>
  </si>
  <si>
    <t>反映荣获国家级奖励或资助的剧目数量情况</t>
  </si>
  <si>
    <t>任务目标完成率</t>
  </si>
  <si>
    <t>用以反映和考核项目任务目标的实现程度。</t>
  </si>
  <si>
    <t>资助省级重大重点题材的剧目</t>
  </si>
  <si>
    <t>反映申报省级重大重点题材剧目立项的数量情况。</t>
  </si>
  <si>
    <t>入选参加全国重大艺术赛事活动数量</t>
  </si>
  <si>
    <t>反映入选参加全国重大艺术赛事活动的数量情况。</t>
  </si>
  <si>
    <t>巡演观众人数</t>
  </si>
  <si>
    <t>5000</t>
  </si>
  <si>
    <t>反映巡演现场观众人数</t>
  </si>
  <si>
    <t>90</t>
  </si>
  <si>
    <t>反映观众满意度</t>
  </si>
  <si>
    <t>围绕“国情宣介、文化交流、人文对话、教学培训、信息服务、旅游推介、产业推广”七大职能定位，面向缅甸主流社会，贴近当地民众，兼顾华人社会，讲好中国和云南故事，传播中华文化，塑造中国国家形象，介绍中国经济、社会发展及文化和旅游。组织开展“欢乐春节”、“中国旅游文化周”、“天涯共此时”等文化和旅游部全球统一品牌活动，开展各类展览、展示、演出、研讨、论坛、讲座、沙龙和厨艺烹饪、汉语、翻译、导游、书法、绘画、舞蹈、器乐、太极挙、武术、手工艺、茶艺、中医针灸、推拿等教学培训课程。2025年拟通过项目实施完成活动场次达到10场以上，观众人数达到1000人次，活动完成时效比率高于90%，当地群众对仰光中国文化中心知晓率不低于80%，观众满意度不低于90%。</t>
  </si>
  <si>
    <t>活动场次</t>
  </si>
  <si>
    <t>10</t>
  </si>
  <si>
    <t>反映和考核开展活动场次是否达到预计目标</t>
  </si>
  <si>
    <t>反映和考核观众人数是否达到预计目标</t>
  </si>
  <si>
    <t>活动完成时效比例</t>
  </si>
  <si>
    <t>全年5个项目的完成时效性</t>
  </si>
  <si>
    <t>当地群众对仰光中国文化中心知晓率</t>
  </si>
  <si>
    <t>反映和当地群众对仰光中国文化中心知晓情况</t>
  </si>
  <si>
    <t>反映观众满意度。</t>
  </si>
  <si>
    <t>预计2025年度组织完成全省7500人导游考试，考试合格率为20%，合格人数为1500人，通过资格考试和等级考试，加强我省导游队伍建设，提高导游人员的业务素质，培养、选拔一批高素质导游人员。</t>
  </si>
  <si>
    <t>参加导游考试人数</t>
  </si>
  <si>
    <t>7500</t>
  </si>
  <si>
    <t>反映和考核参加导游考试人数是否达到预定目标</t>
  </si>
  <si>
    <t>质量指标</t>
  </si>
  <si>
    <t>考试合格率</t>
  </si>
  <si>
    <t>反映和考核考试合格情况；考试合格率=通过的考生数量/参加考试考生数量*100%</t>
  </si>
  <si>
    <t>组织考试完成及时性</t>
  </si>
  <si>
    <t>2025年12月31日前</t>
  </si>
  <si>
    <t>年-月-日</t>
  </si>
  <si>
    <t>反映和考核考试组织开展情况</t>
  </si>
  <si>
    <t>考试开展情况</t>
  </si>
  <si>
    <t>未出现重大考试事故</t>
  </si>
  <si>
    <t>考试工作组织得当，顺利开展</t>
  </si>
  <si>
    <t>考试人员满意度</t>
  </si>
  <si>
    <t>反映和考核考试人员对参与资格考试的满意程度</t>
  </si>
  <si>
    <t>一是区域性旅游资源谋划，持续推进旅游高质量发展。围绕“一线两带”，摸清沿线9个州市、20个以上县（区、市）优势旅游资源，推动滇东、沿边跨境、澜沧江—湄公河三大旅游带区域旅游资源统筹开发。完成云南省“十五五”文化和旅游发展规划编制。围绕文旅项目建设进行调研，推动文旅项目发展；举办文化和旅游消费季专题活动，申报评选出20个文旅消费新场景；参加全国性重要文化和旅游产业博览会，展示云南文旅形象和优质产品，吸引合作意向50个；策划包装文旅创新项目，形成200个储备项目；指导世界级景区、度假区建设，开展乡村旅游经济运行监测，定期发布监测报告；对A级旅游景区、度假区进行检查，使景区和度假区的达标；进行高A级旅游景区、旅游度假区等品牌的创建、评审和管理，全年品牌创建数量不少于10家；组织红色旅游五好讲解员大赛，选拔出21名优秀讲解员；开展旅游品牌监测及技术服务，提高旅游品牌的知名度和影响力；进行绿美A级旅游景区标杆典型推荐评审，完成绿美A级旅游景区评选推荐50个。
二是加强省级重大文旅项目建设和业态创新。全省预计新增文旅投资项目200个以上，推出省级重点招商项目100个以上，为旅游招商引资工作提供项目支撑，为区域旅游资源联动开发和项目高水平建设提供依据和指导。建立文旅新业态项目库，推出新业态文旅企业、分类推出旅游新业态项目100个以上。
三是深挖“有一种叫云南的生活”的价值内涵，以线上线下相结合的方式，在中央广播电视总台开展2025云南文旅形象宣传，全年计划开展不少于20项主题宣传推广活动，制发不少于200个文旅宣传视频。参加境外知名旅游类展会不少于4个，发布贴文不少于1000篇，视频不少于100条，云南文化旅游品牌形象曝光5000万次，举办活动场次不少于15场次，接待海外游客在2024年的基础上增加5%。脸书账号粉丝数量增加5万人，X平台账号粉丝数量增加5万人。  	四是持续加强全省文化旅游市场秩序整治和服务质量提升。围绕《旅游市场负面清单》开展执法检查，12345涉旅投诉专线及团队监管系统短信服务，实施云南省旅游市场违法违规线索举报奖励机制，实现在“一部手机游云南”系统中游客使用满意度不低于90%。全省范围内再培养50名优秀导游（讲解员）；对全省旅行社完成90%以上全面摸底，完成达到评定条件企业评定复核工作。</t>
  </si>
  <si>
    <t>全省预计新增文旅投资项目</t>
  </si>
  <si>
    <t>200</t>
  </si>
  <si>
    <t>反映和考核省级重大文旅项目、季度新开工文旅项目建设和创新情况。以文旅项目和投资落地为抓手，通过重点扶持引导项目工作完成情况。</t>
  </si>
  <si>
    <t>分类推出旅游新业态项目</t>
  </si>
  <si>
    <t>反映和考核以项目为抓手推动旅游产品业态模式创新，分类推出旅游新业态项目工作完成情况</t>
  </si>
  <si>
    <t>中央广播电视总台主题宣传推广活动完成数量</t>
  </si>
  <si>
    <t>围绕“有一种叫云南的生活”，在中央广播电视总台开展2025云南文旅形象宣传，全年计划开展20项主题宣传推广活动，制发200个文旅宣传视频等宣传推广活动的开展情况。</t>
  </si>
  <si>
    <t>完成文旅宣传视频制作数量</t>
  </si>
  <si>
    <t>培养优秀导游（讲解员）</t>
  </si>
  <si>
    <t>50</t>
  </si>
  <si>
    <t>反映和考核全省范围内培养50名优秀导游（讲解员）任务完成情况。</t>
  </si>
  <si>
    <t>文旅市场交叉执行检查及安全生产检查次数</t>
  </si>
  <si>
    <t>8</t>
  </si>
  <si>
    <t>反映文旅市场交叉执行检查及安全生产检查次数完成情况。</t>
  </si>
  <si>
    <t>梳理旅居项目数量</t>
  </si>
  <si>
    <t>1500</t>
  </si>
  <si>
    <t>反映梳理旅居项目数量完成情况。</t>
  </si>
  <si>
    <t>接待旅居游客数量</t>
  </si>
  <si>
    <t>600</t>
  </si>
  <si>
    <t>万人</t>
  </si>
  <si>
    <t>反映接待旅居游客数量完成情况。</t>
  </si>
  <si>
    <t>达到复评条件旅行社复评比例</t>
  </si>
  <si>
    <t>反映和考核对全省旅行社完成90%以上全面摸底，达到评定条件企业评定复核工作完成情况。</t>
  </si>
  <si>
    <t>评定工作完成及时性</t>
  </si>
  <si>
    <t>反映和考核为实现推动旅游高质量要求进行评定工作完成及时性。</t>
  </si>
  <si>
    <t>经济效益</t>
  </si>
  <si>
    <t>实现年旅游总收入</t>
  </si>
  <si>
    <t>亿元</t>
  </si>
  <si>
    <t>反映和考核推动旅游高质量发展带动全省旅游收入情况。</t>
  </si>
  <si>
    <t>全省完成旅游投资金额</t>
  </si>
  <si>
    <t>500</t>
  </si>
  <si>
    <t>反映和考核围绕高质量发展抓项目，推进文旅项目投资建设并依法依规入库纳统新增成效。</t>
  </si>
  <si>
    <t>实现年接待游客总人数</t>
  </si>
  <si>
    <t>亿人次</t>
  </si>
  <si>
    <t>反映和考核推动旅游高质量发展带动到省旅游人数。</t>
  </si>
  <si>
    <t>文旅行业保持从业人数</t>
  </si>
  <si>
    <t>240</t>
  </si>
  <si>
    <t>反映和考核区域旅游带动就业情况。</t>
  </si>
  <si>
    <t>可持续影响</t>
  </si>
  <si>
    <t>推出省级重点招商项目数量</t>
  </si>
  <si>
    <t>反映和考核围绕高质量发展抓项目，加强招商项目谋划储备，实施文旅项目精准招商的新增成效。</t>
  </si>
  <si>
    <t>到滇旅游游客满意度</t>
  </si>
  <si>
    <t>85</t>
  </si>
  <si>
    <t>反映和考核到滇旅游游客的满意度。</t>
  </si>
  <si>
    <t>“一部手机游云南”APP游客使用满意度</t>
  </si>
  <si>
    <t>反映和考核“一部手机游云南”APP游客使用的情况和感受。</t>
  </si>
  <si>
    <t>根据《云南省人民政府关于贯彻新发展理念推动旅游高质量发展的意见》（云政发〔2021〕31号）、《云南省人民政府办公厅关于加快推动旅游高质量发展守护好云南旅游金字招牌的意见》（云政发〔2023〕21号）政策要求，以及相关财政规定，本年度主要用于省文化和旅游厅的云南省文化文物和旅游统计直报系统运维及云资源租用、2025年“一部手机游云南”购买服务项目一等保测评服务、2025年“一部手机游云南”购买服助资金务项目。保障“游云南”和“一部手机管旅游”平台持续正常稳定运行，达到逐步提升云南边疆治理体系和治理能力现代化水平的目标。</t>
  </si>
  <si>
    <t>云资源服务完成数量</t>
  </si>
  <si>
    <t xml:space="preserve">承接主体是否按照政府购买服务合同中针对云资源服务约定的服务条款履约，购买主体是否对服务有效应用，用以反映和考核承接主体云资源服务体系服务完成情况及购买主体对提供的服务应用情况。 </t>
  </si>
  <si>
    <t>开展政务信息化项目个数</t>
  </si>
  <si>
    <t>反映和考核开展政务信息化项目个数。</t>
  </si>
  <si>
    <t>开展网络安全等级保护测评三级系统个数</t>
  </si>
  <si>
    <t>反映和考核开展三级系统网络安全等级保护测评情况。</t>
  </si>
  <si>
    <t>解决用户的问题时间</t>
  </si>
  <si>
    <t>48</t>
  </si>
  <si>
    <t>小时</t>
  </si>
  <si>
    <t>反映用户咨询和求助得到及时响应和处理情况。</t>
  </si>
  <si>
    <t>“游云南”和“一部手机管旅游”平台运行</t>
  </si>
  <si>
    <t>持续正常稳定</t>
  </si>
  <si>
    <t>反映和考核“游云南”和“一部手机管旅游”平台正常运行情况。</t>
  </si>
  <si>
    <t>网络安全防护工作测评通过率</t>
  </si>
  <si>
    <t>反映和考核网络安全防护工作测评通过率情况。</t>
  </si>
  <si>
    <t>使用人员满意度</t>
  </si>
  <si>
    <t>反映使用对象对相关信息系统使用的满意度。
使用人员满意度=（对信息系统满意的使用人员/问卷调查人数）*100%</t>
  </si>
  <si>
    <t>坚持“全面提升东南亚、东北亚市场，深度开发港澳台市场，大力开拓欧美、南亚市场，开拓非洲新兴客源市场”的思路，加强对国际旅游细分市场的研究和分析，实施区域旅游品牌战略和海外分区营销策略，构建目标明确、高效务实、全省统筹、各方参与的“营销云南、推广云南”方式。积极争取文化和旅游部驻外办事处的支持，加强与客源地的供需对接、与专业协会的对接、与入境旅游企业的对接，加大海外市场营销的“走出去”工作。深度策划和积极参与专业国际展会、大型国际性旅游节庆活动和国际交流活动。面向海外推出“一部手机游云南”英文版本，切实提高云南文化旅游的国际知名度、美誉度和吸引力，拓展海外入滇客源市场规模。开展文化旅游推介会12场，业界交流座谈25场，发放宣传资料5000份。</t>
  </si>
  <si>
    <t>开展文化旅游推介会</t>
  </si>
  <si>
    <t>12</t>
  </si>
  <si>
    <t>开展文化旅游推介会场次</t>
  </si>
  <si>
    <t>业界交流座谈</t>
  </si>
  <si>
    <t>25</t>
  </si>
  <si>
    <t>召开业界交流座谈会议场次</t>
  </si>
  <si>
    <t>发放宣传资料</t>
  </si>
  <si>
    <t>份</t>
  </si>
  <si>
    <t>推介会发放宣传资料份数</t>
  </si>
  <si>
    <t>旅行商参加推介会人次</t>
  </si>
  <si>
    <t>组织旅行商参加推介会人次</t>
  </si>
  <si>
    <t>海外游客对云南旅游的满意度</t>
  </si>
  <si>
    <t>满意度调查</t>
  </si>
  <si>
    <t>按照《云南省人民政府关于进一步加强非物质文化遗产保护工作的意见》政策要求，为做好扩大非遗传承人群工作，计划开展国家级、省级文化生态保护区评估、非物质文化遗产保护推进工作交流活动等工作，进一步增强非遗保护传承的影响。</t>
  </si>
  <si>
    <t>非遗系统性保护与可持续发展试点评估报告</t>
  </si>
  <si>
    <t>用以反映非遗系统性保护与可持续发展工作总体情况</t>
  </si>
  <si>
    <t>开展《非遗条例》调研</t>
  </si>
  <si>
    <t>用以反映和考核开展《非遗条例》调研次数是否达到预定目标。</t>
  </si>
  <si>
    <t>开展非物质文化遗产保护推进工作交流活动</t>
  </si>
  <si>
    <t>用于反映和考核开展非物质文化遗产保护推进工作交流活动次数是否达到预定目标。</t>
  </si>
  <si>
    <t>参加或开展非物质文化遗产宣传展示交流活动人数</t>
  </si>
  <si>
    <t>用以反映和考核参加或开展非物质文化遗产宣传展示交流活动人数是否达到预定目标。</t>
  </si>
  <si>
    <t>对增强非遗保护传承氛围的影响</t>
  </si>
  <si>
    <t>长期</t>
  </si>
  <si>
    <t>用以反映开展多项活动对非遗保护传承氛围的影响情况。</t>
  </si>
  <si>
    <t>对提升非遗社会关注度的影响</t>
  </si>
  <si>
    <t>用以反映专项规划完成对提升非遗社会关注度的影响情况。</t>
  </si>
  <si>
    <t>非物质文化遗产保护推进工作参与者满意度</t>
  </si>
  <si>
    <t>用以反映非物质文化遗产保护推进工作参与者的满意程度。</t>
  </si>
  <si>
    <t>按照《云南省财政厅云南省机关事务管理局关于印发云南省省级行政事业单位国有资产使用管理办法的通知》（云财资〔2020〕127）号文规定，省文旅厅经统计厅机关本级和厅直属单位出租房屋情况，每年出租收入约792.3万元。非税收入成本性支出项目用于厅机关本级物业服务保障及设施维护等支出。预计全年会务保障完成率达到90%以上、物业管理面积达到1.79万平方米、服务受益人员满意度达到90%以上。</t>
  </si>
  <si>
    <t>会务保障完成率</t>
  </si>
  <si>
    <t>90%</t>
  </si>
  <si>
    <t>反映会务保障完成情况。会务保障完成率=保障会务数/会务数*100%</t>
  </si>
  <si>
    <t>物业管理面积</t>
  </si>
  <si>
    <t>1.79万平方米</t>
  </si>
  <si>
    <t>平方米</t>
  </si>
  <si>
    <t>反映物业管理合同约定的服务区域、办公区域室内外（含绿化）面积之和。</t>
  </si>
  <si>
    <t>零星修缮（维修）及时率</t>
  </si>
  <si>
    <t>反映零星修缮（维修）及时的情况。零星修缮（维修）及时率=在规定时间内完成零星修缮（维修）数量/报修数量*100%</t>
  </si>
  <si>
    <t>安全事故发生次数</t>
  </si>
  <si>
    <t>反映安全事故发生的次数情况。</t>
  </si>
  <si>
    <t>服务受益人员满意度</t>
  </si>
  <si>
    <t>反映保安、保洁、餐饮服务、绿化养护服务受益人员满意程度。</t>
  </si>
  <si>
    <t>2025年绩效目标:开展40个文物保护工程方案评审、40个文物保护工程预算评审和20个文物保护安全防护工程方案评审，开展文物行政执法、安全巡查工作，做好第四次全国文物普查相关工作，安全事故发生率≤0.5%，长期提升省级文物保护水平和全民保护意识，长期持续对中华优秀传统文化传承影响。</t>
  </si>
  <si>
    <t>工程方案评审数量</t>
  </si>
  <si>
    <t>40</t>
  </si>
  <si>
    <t>用以反映和考核项目产出数量目标的实现程度。</t>
  </si>
  <si>
    <t>工程预算评审数量</t>
  </si>
  <si>
    <t>不可移动文物保护工程工地检查和竣工验收</t>
  </si>
  <si>
    <t>举办培训班参加人数</t>
  </si>
  <si>
    <t>用以反映培训覆盖率实现程度</t>
  </si>
  <si>
    <t>安全事故发生率</t>
  </si>
  <si>
    <t>0.50</t>
  </si>
  <si>
    <t>能反映一定时期安全工作开展的实际情况，而且还能跟踪其变化情况，找出规律，及时发现问题，改进工作，防范于未然。</t>
  </si>
  <si>
    <t>省级单位的重大险情排除率</t>
  </si>
  <si>
    <t>98</t>
  </si>
  <si>
    <t>该指标反映文物保护单位隐患排查整改情况</t>
  </si>
  <si>
    <t>按预算执行进度要求完成资金支付</t>
  </si>
  <si>
    <t>该指标反映按预算执行进度要求完成资金支付情况</t>
  </si>
  <si>
    <t>提升省级文物保护水平和全民保护意识</t>
  </si>
  <si>
    <t>年</t>
  </si>
  <si>
    <t>该指标反映我省文物保护工作效益情况</t>
  </si>
  <si>
    <t>对中华优秀传统文化传承影响</t>
  </si>
  <si>
    <t>考核项目影响力</t>
  </si>
  <si>
    <t>保护单位对文物保护满意度</t>
  </si>
  <si>
    <t>用以反映可考核社会对项目实施效果的满意程度</t>
  </si>
  <si>
    <t>社会公众对文物保护满意度</t>
  </si>
  <si>
    <t>用以反映可考核社会工作对项目实施效果的满意程度</t>
  </si>
  <si>
    <t>认真贯彻落实云南省安全生产委员会关于印发《云南省细化落实安全生产十五条措施工作方案》的通知要求（云安〔2022〕12号）文件要求，牢固树立“隐患就是事故”理念，围绕文化和旅游行业重点领域、关键环节，对我省重点文旅企业安全生产工作落实情况、安全生产管理情况、责任落实情况及安全生产宣传情况等方面开展深入调查，强化调查结果运用，以问题为导向，为文旅企业提供针对性安全生产帮扶服务，切实将安全生产责任落实到文旅企业每个部门、每个岗位、每个个人，确保实现全省文旅市场“安全、有序、优质、文明、高效”的目标。2025年主要一是临时性突发性文化和旅游市场安全生产检查和事件处置；二是文化文物保护突发事故处置；三是机关运行保障等。</t>
  </si>
  <si>
    <t>行业安全生产调查</t>
  </si>
  <si>
    <t>反映行业安全生产调查次数是否达到预期目标</t>
  </si>
  <si>
    <t>文化文物保护突发事件处置</t>
  </si>
  <si>
    <t>7</t>
  </si>
  <si>
    <t>工作日</t>
  </si>
  <si>
    <t>反映是否有序组织及时处置文化文物保护突发事件。</t>
  </si>
  <si>
    <t>全省文旅行业安全水平提升</t>
  </si>
  <si>
    <t>显著提升</t>
  </si>
  <si>
    <t>反映帮扶后安全水平提升情况。</t>
  </si>
  <si>
    <t>帮扶对象满意度</t>
  </si>
  <si>
    <t>反映被帮扶对象满意度。</t>
  </si>
  <si>
    <t>预算06表</t>
  </si>
  <si>
    <t>2025年部门政府性基金预算支出预算表</t>
  </si>
  <si>
    <t>政府性基金预算支出</t>
  </si>
  <si>
    <t>注：2025年部门预算我部门无政府性基金预算支出，故此表公开为空表。</t>
  </si>
  <si>
    <t>预算07表</t>
  </si>
  <si>
    <t>2025年部门政府采购预算表</t>
  </si>
  <si>
    <t>预算项目</t>
  </si>
  <si>
    <t>采购项目</t>
  </si>
  <si>
    <t>采购目录</t>
  </si>
  <si>
    <t>计量
单位</t>
  </si>
  <si>
    <t>数量</t>
  </si>
  <si>
    <t>面向中小企业预留资金</t>
  </si>
  <si>
    <t>政府性
基金</t>
  </si>
  <si>
    <t>国有资本经营收益</t>
  </si>
  <si>
    <t>财政专户管理的收入</t>
  </si>
  <si>
    <t>单位自筹</t>
  </si>
  <si>
    <t>文物保护安全防护工程方案评审</t>
  </si>
  <si>
    <t>C20030900 评审咨询服务</t>
  </si>
  <si>
    <t>文物保护工程方案评审费</t>
  </si>
  <si>
    <t>文物保护工程方案预算评审</t>
  </si>
  <si>
    <t>不可移动文物保护单位消防安全评估</t>
  </si>
  <si>
    <t>C06030400 文物和文化保护服务</t>
  </si>
  <si>
    <t>不可移动文物保护工程工地检查和竣工验收等管理</t>
  </si>
  <si>
    <t>省博物馆公益性文物鉴定咨询工作</t>
  </si>
  <si>
    <t>省文物总店涉案文物鉴定</t>
  </si>
  <si>
    <t>全国导游资格考试（云南考区）现场考试和中高级考试机考服务</t>
  </si>
  <si>
    <t>C02080000 考试服务</t>
  </si>
  <si>
    <t>2025年群众文化系列活动经费</t>
  </si>
  <si>
    <t>C06030700 群众文化活动服务</t>
  </si>
  <si>
    <t>第十八届云南省新剧（节）目展演</t>
  </si>
  <si>
    <t>千乡万里送戏行大篷车下乡演出</t>
  </si>
  <si>
    <t>新年戏曲晚会</t>
  </si>
  <si>
    <t>云南省迎新春茶话会专项经费</t>
  </si>
  <si>
    <t>内审服务</t>
  </si>
  <si>
    <t>C23030000 审计服务</t>
  </si>
  <si>
    <t>综合财务管理咨询服务</t>
  </si>
  <si>
    <t>项目绩效评价</t>
  </si>
  <si>
    <t>C20030800 预算绩效评价咨询服务</t>
  </si>
  <si>
    <t>项目化推进云南省文化和旅游志愿服务专项行动</t>
  </si>
  <si>
    <t>C05020500 志愿服务活动管理服务</t>
  </si>
  <si>
    <t>云南省第十四届民族民间歌舞乐展演</t>
  </si>
  <si>
    <t>C06030100 艺术创作、表演和交流服务</t>
  </si>
  <si>
    <t>公车加油</t>
  </si>
  <si>
    <t>C23120302 车辆加油、添加燃料服务</t>
  </si>
  <si>
    <t>公车维修</t>
  </si>
  <si>
    <t>C23120301 车辆维修和保养服务</t>
  </si>
  <si>
    <t>公车保险</t>
  </si>
  <si>
    <t>C1804010201 机动车保险服务</t>
  </si>
  <si>
    <t>便携式打印机</t>
  </si>
  <si>
    <t>A02021004 A4彩色打印机</t>
  </si>
  <si>
    <t>办公椅</t>
  </si>
  <si>
    <t>A05010301 办公椅</t>
  </si>
  <si>
    <t>笔记本电脑</t>
  </si>
  <si>
    <t>A02010108 便携式计算机</t>
  </si>
  <si>
    <t>高速打印机</t>
  </si>
  <si>
    <t>A02020100 复印机</t>
  </si>
  <si>
    <t>台</t>
  </si>
  <si>
    <t>黑白复印机</t>
  </si>
  <si>
    <t>套</t>
  </si>
  <si>
    <t>打印复印纸</t>
  </si>
  <si>
    <t>A05040101 复印纸</t>
  </si>
  <si>
    <t>包</t>
  </si>
  <si>
    <t>打印</t>
  </si>
  <si>
    <t>C2309019901 公文用纸、资料汇编、信封印刷服务</t>
  </si>
  <si>
    <t>长沙发</t>
  </si>
  <si>
    <t>A05010000 家具</t>
  </si>
  <si>
    <t>谈话室同步录音录像系统</t>
  </si>
  <si>
    <t>B06010200 监控系统工程安装</t>
  </si>
  <si>
    <t>标签打印机</t>
  </si>
  <si>
    <t>A02021006 票据打印机</t>
  </si>
  <si>
    <t>立式铁皮柜</t>
  </si>
  <si>
    <t>A05010599 其他柜类</t>
  </si>
  <si>
    <t>组</t>
  </si>
  <si>
    <t>针孔摄像头</t>
  </si>
  <si>
    <t>A02019900 其他信息化设备</t>
  </si>
  <si>
    <t>录音笔</t>
  </si>
  <si>
    <t>A02091299 其他音频设备</t>
  </si>
  <si>
    <t>支</t>
  </si>
  <si>
    <t>快速扫描仪</t>
  </si>
  <si>
    <t>A02021118 扫描仪</t>
  </si>
  <si>
    <t>2T移动硬盘</t>
  </si>
  <si>
    <t>A02000000 设备</t>
  </si>
  <si>
    <t>储存器</t>
  </si>
  <si>
    <t>录音电话机</t>
  </si>
  <si>
    <t>平板电脑</t>
  </si>
  <si>
    <t>显示器</t>
  </si>
  <si>
    <t>便携式投影仪</t>
  </si>
  <si>
    <t>A02020200 投影仪</t>
  </si>
  <si>
    <t>档案柜</t>
  </si>
  <si>
    <t>A05010502 文件柜</t>
  </si>
  <si>
    <t>执法记录仪</t>
  </si>
  <si>
    <t>A02020600 执法记录仪</t>
  </si>
  <si>
    <t>2025年“一部手机游云南”购买服务项目（游客综合服务）—等保测评服务</t>
  </si>
  <si>
    <t>C16060000 测试评估认证服务</t>
  </si>
  <si>
    <t>对外宣传推广、交流合作项目</t>
  </si>
  <si>
    <t>C23150000 广告宣传服务</t>
  </si>
  <si>
    <t>云南文旅新媒体传播推广项目</t>
  </si>
  <si>
    <t>云南文旅重点客源市场营销推广项目</t>
  </si>
  <si>
    <t>云南文旅主流媒体宣传推广项目</t>
  </si>
  <si>
    <t>腾冲科学家论坛</t>
  </si>
  <si>
    <t>C22010000 会议服务</t>
  </si>
  <si>
    <t>2025年全省文化和旅游行业培训</t>
  </si>
  <si>
    <t>C02060000 培训服务</t>
  </si>
  <si>
    <t>“兴旅英才”培养项目</t>
  </si>
  <si>
    <t>举办云南省3期导游培训班</t>
  </si>
  <si>
    <t>资源开发培训班</t>
  </si>
  <si>
    <t>2025年“七彩云南文旅执法”公众号等运营推广项目</t>
  </si>
  <si>
    <t>C16080200 平台运营服务</t>
  </si>
  <si>
    <t>全省旅游资源普查</t>
  </si>
  <si>
    <t>C23060100 普查服务</t>
  </si>
  <si>
    <t>旅游抽样调查及统计专项经费</t>
  </si>
  <si>
    <t>C23069900 其他调查和民意测验服务</t>
  </si>
  <si>
    <t>文旅行业社会信用体系建设</t>
  </si>
  <si>
    <t>参加第六届全国导游大赛</t>
  </si>
  <si>
    <t>C99000000 其他服务</t>
  </si>
  <si>
    <t>金牌职业经理人选拔培养项目</t>
  </si>
  <si>
    <t>旅游高质量发展(含旅居云南)推进经费</t>
  </si>
  <si>
    <t>文旅项目策划包装</t>
  </si>
  <si>
    <t>项目支出定额标准建设</t>
  </si>
  <si>
    <t>云南省旅游投诉调解仲裁处置中心建设</t>
  </si>
  <si>
    <t>2025年度云南省文化和旅游标准化建设服务项目</t>
  </si>
  <si>
    <t>C16990000 其他信息技术服务</t>
  </si>
  <si>
    <t>2025年数字云南展示中心智慧旅游展区运营服务</t>
  </si>
  <si>
    <t>2025年云南文化和旅游网络信息综合管理项目</t>
  </si>
  <si>
    <t>“30天无理由退货”运行服务项目</t>
  </si>
  <si>
    <t>C23089900 其他行业管理服务</t>
  </si>
  <si>
    <t>2025年“一部手机游云南”（游客综合服务）运营服务项目</t>
  </si>
  <si>
    <t>C16079900 其他运行维护服务</t>
  </si>
  <si>
    <t>2025年投诉退货分中心及12345涉旅投诉专线运营服务项目</t>
  </si>
  <si>
    <t>参加国内文化旅游展览活动及商洽会（5个）及5.19旅游日宣传推广项目</t>
  </si>
  <si>
    <t>C22029900 其他展览服务</t>
  </si>
  <si>
    <t>2025年全省旅游从业人员线上职业培训项目</t>
  </si>
  <si>
    <t>C19990000 其他专业技术服务</t>
  </si>
  <si>
    <t>“12301”数据服务采购</t>
  </si>
  <si>
    <t>红色旅游五好讲解员大赛</t>
  </si>
  <si>
    <t>旅游品牌监测及技术服务</t>
  </si>
  <si>
    <t>云南省文旅统计直报系统旅游数据资源采集项目</t>
  </si>
  <si>
    <t>2025年“一部手机游云南”服务项目配套服务—云南旅游咨询服务中心旅游咨询及旅游信息展示服务</t>
  </si>
  <si>
    <t>C20039900 其他咨询服务</t>
  </si>
  <si>
    <t>2025年“一部手机游云南”购买服务项目配套服务(质量全过程咨询及监测服务）</t>
  </si>
  <si>
    <t>“有一种叫云南的生活-云南美景大家赏”</t>
  </si>
  <si>
    <t>“有一种叫云南的生活-云南民歌大家唱”</t>
  </si>
  <si>
    <t>“有一种叫云南的生活-云南舞蹈大家跳”</t>
  </si>
  <si>
    <t>国内区域合作及交流活动</t>
  </si>
  <si>
    <t>全国性重要文化和旅游产业博览会</t>
  </si>
  <si>
    <t>C22020400 文化产品展览服务</t>
  </si>
  <si>
    <t>独龙江生态旅游规划</t>
  </si>
  <si>
    <t>C23080100 行业规划服务</t>
  </si>
  <si>
    <t>旅居云南相关业务培训、项目调查、规划以及标准编制</t>
  </si>
  <si>
    <t>云南省“十五五”文化和旅游发展规划编制经费</t>
  </si>
  <si>
    <t>旅居统计项目</t>
  </si>
  <si>
    <t>C23080200 行业统计分析服务</t>
  </si>
  <si>
    <t>云南旅游运行数据分析报告项目</t>
  </si>
  <si>
    <t>2025年“一部手机游云南”购买服务项目配套服务(绩效评价服务）</t>
  </si>
  <si>
    <t>安全保卫服务</t>
  </si>
  <si>
    <t>C05040300 保安服务</t>
  </si>
  <si>
    <t>云南省文化和旅游厅档案整理和数字化加工服务</t>
  </si>
  <si>
    <t>C23200000 档案管理服务</t>
  </si>
  <si>
    <t>物业管理服务</t>
  </si>
  <si>
    <t>C21040001 物业管理服务</t>
  </si>
  <si>
    <t>2025年“一部手机游云南”购买服务项目—等保测评服务</t>
  </si>
  <si>
    <t>2025年“一部手机游云南”购买服务项目</t>
  </si>
  <si>
    <t>云南省文化文物和旅游统计直报系统运维及云资源租用</t>
  </si>
  <si>
    <t>C16000000 信息技术服务</t>
  </si>
  <si>
    <t>预算08表</t>
  </si>
  <si>
    <t>2025年部门政府购买服务预算表</t>
  </si>
  <si>
    <t>政府购买服务项目</t>
  </si>
  <si>
    <t>政府购买服务目录</t>
  </si>
  <si>
    <t>文物保护单位消防评估</t>
  </si>
  <si>
    <t>A0101 公共安全隐患排查治理服务</t>
  </si>
  <si>
    <t>A0803 文物和文化保护服务</t>
  </si>
  <si>
    <t>不可移动文物保护工程工地检查和竣工验收项目</t>
  </si>
  <si>
    <t>B0603 其他适合通过市场化方式提供的工程服务</t>
  </si>
  <si>
    <t>B0701 评审服务</t>
  </si>
  <si>
    <t>文物保护工程方案评审</t>
  </si>
  <si>
    <t>A1604 行业职业资格准入和水平评价管理服务</t>
  </si>
  <si>
    <t>A0801 文化艺术创作、表演及交流服务</t>
  </si>
  <si>
    <t>2025年群众文化系列活动</t>
  </si>
  <si>
    <t>A0802 群众文化活动服务</t>
  </si>
  <si>
    <t>云南省迎新春茶话会</t>
  </si>
  <si>
    <t>A1005 志愿服务活动管理服务</t>
  </si>
  <si>
    <t>B0302 审计服务</t>
  </si>
  <si>
    <t>B0702 评估和评价服务</t>
  </si>
  <si>
    <t>B0801 咨询服务</t>
  </si>
  <si>
    <t>2025年全省旅游从业人员线上职业培训</t>
  </si>
  <si>
    <t>A0302 职业技能培训服务</t>
  </si>
  <si>
    <t>2025年全省文化和旅游行业安全生产培训</t>
  </si>
  <si>
    <t>旅游高质量发展(含旅居云南)推进工作</t>
  </si>
  <si>
    <t>A1501 公共信息服务</t>
  </si>
  <si>
    <t>A1502 公共公益宣传服务</t>
  </si>
  <si>
    <t>云南文旅主流媒体宣传推广</t>
  </si>
  <si>
    <t>A1503 公共公益展览服务</t>
  </si>
  <si>
    <t>2025年“七彩云南文旅执法”公众号</t>
  </si>
  <si>
    <t>A1504 公共信息系统开发与维护服务</t>
  </si>
  <si>
    <t>2025年数字云南展示中心智慧旅游展区</t>
  </si>
  <si>
    <t>“30天无理由退货”运行</t>
  </si>
  <si>
    <t>A1601 行业规划服务</t>
  </si>
  <si>
    <t>云南省“十五五”文化和旅游发展规划编制</t>
  </si>
  <si>
    <t>“12301”数据采购</t>
  </si>
  <si>
    <t>A1603 行业统计分析服务</t>
  </si>
  <si>
    <t>云南旅游运行数据分析报告</t>
  </si>
  <si>
    <t>云南省文旅统计直报系统旅游数据资源收集</t>
  </si>
  <si>
    <t>2025年度云南省文化和旅游标准化建设</t>
  </si>
  <si>
    <t>A1606 行业标准制修订服务</t>
  </si>
  <si>
    <t>项目定额标准建设服务</t>
  </si>
  <si>
    <t>2025年投诉退货分中心及12345涉旅投诉专线运营</t>
  </si>
  <si>
    <t>A1607 行业投诉处理服务</t>
  </si>
  <si>
    <t>A1703 监测服务</t>
  </si>
  <si>
    <t>A1801 对外合作与交流服务</t>
  </si>
  <si>
    <t>旅游抽样调查及统计工作</t>
  </si>
  <si>
    <t>B0202 社会调查服务</t>
  </si>
  <si>
    <t>B0401 会议服务</t>
  </si>
  <si>
    <t>B1102 物业管理服务</t>
  </si>
  <si>
    <t>B1103 安全服务</t>
  </si>
  <si>
    <t>B1202 档案管理服务</t>
  </si>
  <si>
    <t>B1001 机关信息系统开发与维护服务</t>
  </si>
  <si>
    <t>B1004 其他适合通过市场化方式提供的信息化服务</t>
  </si>
  <si>
    <t>预算09-1表</t>
  </si>
  <si>
    <t>2025年省对下转移支付预算表</t>
  </si>
  <si>
    <t>单位名称（项目）</t>
  </si>
  <si>
    <t>地区</t>
  </si>
  <si>
    <t>政府性基金</t>
  </si>
  <si>
    <t>昆明</t>
  </si>
  <si>
    <t>昭通</t>
  </si>
  <si>
    <t>曲靖</t>
  </si>
  <si>
    <t>玉溪</t>
  </si>
  <si>
    <t>红河</t>
  </si>
  <si>
    <t>文山</t>
  </si>
  <si>
    <t>普洱</t>
  </si>
  <si>
    <t>西双版纳</t>
  </si>
  <si>
    <t>楚雄</t>
  </si>
  <si>
    <t>大理</t>
  </si>
  <si>
    <t>保山</t>
  </si>
  <si>
    <t>德宏</t>
  </si>
  <si>
    <t>丽江</t>
  </si>
  <si>
    <t>怒江</t>
  </si>
  <si>
    <t>迪庆</t>
  </si>
  <si>
    <t>临沧</t>
  </si>
  <si>
    <t>宣威</t>
  </si>
  <si>
    <t>腾冲</t>
  </si>
  <si>
    <t>镇雄</t>
  </si>
  <si>
    <t>美术馆图书馆文化馆（站）免费开放专项资金</t>
  </si>
  <si>
    <t>博物馆纪念馆免费开放省级配套专项资金</t>
  </si>
  <si>
    <t>公共文化领域省对下转移支付专项资金</t>
  </si>
  <si>
    <t>旅游高质量发展（省对下）专项资金</t>
  </si>
  <si>
    <t>非物质文化遗产保护对下补助经费</t>
  </si>
  <si>
    <t>省级重点文物保护对下补助经费</t>
  </si>
  <si>
    <t>预算09-2表</t>
  </si>
  <si>
    <t>2025年省对下转移支付绩效目标表</t>
  </si>
  <si>
    <t>一是在文化+旅游项目方面，有效保护和利用世界文化遗产，推进国家考古遗址公园建设，创新公共文化服务体系，提升博物馆展览展陈水平，加强非物质文化遗产传承体验，推动长征（长江）国家文化公园建设，开发红色旅游资源，促进边境跨境文化交融，建设高质量的文化产业园区和文化创意平台，打造一批具有创新性和引领性的文化旅游项目。
二是在生态+旅游项目方面，加强国家公园、森林公园、自然保护区等生态功能区的生态旅游开发，依托自然、生态、文化、科技等元素，打造具有创新性和引领性的研学旅游项目，推动生态旅游可持续发展。
三是在边境+旅游项目方面，建设完善的边境旅游试验区和跨境旅游合作区，提升边境跨境旅游公共服务水平，打造具有创新性和引领性的边境旅游项目，促进边境地区旅游发展。
四是在康养+旅游项目方面，发展高端医疗、中医药健康养生保健、温泉疗养、森林养生、避寒避暑、旅居养老、滨水度假、生态旅游等领域的创新性和引领性项目，满足游客对康养旅游的需求。
五是在乡村+旅游项目方面，建设最美乡愁旅游带和最美乡愁旅游地，完成旅游特色村的改造和环境提升，发展茶咖花现代农业庄园，丰富农事体验和农耕文化体验，推动乡村旅游发展。
六是在体育+旅游项目方面，开展山地运动、滨水或水上运动、低空飞行等户外运动，加强体育培训、体育训练和户外探险等领域的项目建设，打造具有创新性和引领性的体育旅游项目。
七是在工业+旅游项目方面，建设国家工业遗址公园，推动工业生产深度体验，有效利用废旧工矿厂房发展旅游，实现资源枯竭型城市旅游转型，开发库区和电站旅游资源，打造具有创新性和引领性的工业旅游项目。
八是在科技+旅游项目方面，利用现代科技或依托重大科技工程及成果，发展沉浸式体验、全息影像、元宇宙等具有创新性和引领性的科技旅游项目，提升旅游的科技含量和体验感。
九是在交通+旅游项目方面，提升公路服务区文旅功能，开发特色桥梁和隧道旅游资源，建设旅游慢行系统，打造具有创新性和引领性的交通旅游项目，促进交通与旅游的深度融合。</t>
  </si>
  <si>
    <t>重点培育旅游业态产品模式创新项目数量</t>
  </si>
  <si>
    <t>15</t>
  </si>
  <si>
    <t>反映和考核云南文旅新业态重点培育旅游业态产品模式创新项目的工作推进情况。</t>
  </si>
  <si>
    <t>完成旅游宣传营销项目数量</t>
  </si>
  <si>
    <t>反映和考核为实现旅游高质量发展目标完成旅游宣传营销工作的情况。</t>
  </si>
  <si>
    <t>培育“旅游+”融合示范点数量</t>
  </si>
  <si>
    <t>120</t>
  </si>
  <si>
    <t>反映和考核围绕加快推进省级重大文旅项目建设和业态创新目标，培育“旅游+”融合新业态企业数量任务完成情况。</t>
  </si>
  <si>
    <t>旅游业态模式培育对象准确性</t>
  </si>
  <si>
    <t>反映和考核为实现推动旅游高质量要求相关培育对象准确性。</t>
  </si>
  <si>
    <t>创建项目完成率</t>
  </si>
  <si>
    <t>反映和考核本年度旅居云南、旅游产品业态创新、长征长江国家文化公园创建等项目完成质量情况。</t>
  </si>
  <si>
    <t>全省预计实现旅游总收入同比增长</t>
  </si>
  <si>
    <t>全省接待游客总数同比增长</t>
  </si>
  <si>
    <t>反映和考核围绕旅游高质量发展目标全省接待游客总数同比增长情况。</t>
  </si>
  <si>
    <t>完成旅游人才引培项目数量</t>
  </si>
  <si>
    <t>反映和考核完成旅游人才引进和培养、旅游从业人员培训等提升旅游行业服务质量和水平的旅游人才引培任务完成情况。</t>
  </si>
  <si>
    <t>游客综合满意度</t>
  </si>
  <si>
    <t>反映和考核游客综合的满意度。</t>
  </si>
  <si>
    <t>完成补助省级重点文物保护项目个数3个以上，年内工程施工开工，2年内项目验收。项目开工完成率达100%，项目验收合格率≥98%，安全事故发生率≤0.5%，长期提升省级文物保护水平和全民保护意识，长期持续对中华优秀传统文化传承影响。</t>
  </si>
  <si>
    <t>补助省级重点文物保护项目个数</t>
  </si>
  <si>
    <t>补助省级文物保护单位项目个数</t>
  </si>
  <si>
    <t>当年确认列入支持范围的省保单位保护利用规划实现率</t>
  </si>
  <si>
    <t>指标反映省保单位保护利用规划实现情况</t>
  </si>
  <si>
    <t>补助可移动文物保护项目个数</t>
  </si>
  <si>
    <t>列入支持范围的省保单位“四有”工作实现情况</t>
  </si>
  <si>
    <t>指标反映“四有”工作实现情况</t>
  </si>
  <si>
    <t>0.5</t>
  </si>
  <si>
    <t>‰</t>
  </si>
  <si>
    <t>指标能反映一定时期安全工作开展的实际情况，而且还能跟踪其变化情况，找出规律，及时发现问题，改进工作，防范于未然。</t>
  </si>
  <si>
    <t>项目验收合格率</t>
  </si>
  <si>
    <t>验收合格率=验收合格项目个数/实际完成项目个数，项目完成后验收合格的产出与实际产出的比率，用以反映和考核项目验收合格目标的实现程度。</t>
  </si>
  <si>
    <t>文物损毁、违规修复发生率</t>
  </si>
  <si>
    <t>该指标反映项目是否根据文物保护方案按计划进行施工</t>
  </si>
  <si>
    <t>考核项目对民众保护意识的提升</t>
  </si>
  <si>
    <t>2025年度主要目标是：一是通过对专家组评选出来的集体类获奖节目和文旅部确定的全国示范点给予配套资金支持，进一步促进工作；二是梳理、肯定、总结各州市加强现代公共文化服务体系建设，推进“彩云之南等你来”夜间群众文化活动展示展演、春节“村晚”和“四季村晚”全国示范展示点等工作中好的做法和经验，发挥示范作用，提升全省基层公共文化服务水平。</t>
  </si>
  <si>
    <t>春节“村晚”和“四季村晚”全国示范展示点补助个数</t>
  </si>
  <si>
    <t>反映春节“村晚”和“四季村晚”全国示范展示点补助个数是否达到预定目标</t>
  </si>
  <si>
    <t>云南省第六届群众文化“彩云奖”项目补助数量</t>
  </si>
  <si>
    <t>36</t>
  </si>
  <si>
    <t>反映云南省第六届群众文化“彩云奖”项目补助数量是否达到预定目标</t>
  </si>
  <si>
    <t>“彩云之南等你来”项目补助数量</t>
  </si>
  <si>
    <t>反映补助“彩云之南等你来”项目数量是否达到预定目标</t>
  </si>
  <si>
    <t>补助项目实施对公共文化服务的影响</t>
  </si>
  <si>
    <t>显著影响</t>
  </si>
  <si>
    <t>反映补助项目对公共文化服务是否产生显著影响。</t>
  </si>
  <si>
    <t>受益对象满意度</t>
  </si>
  <si>
    <t>指标反映可考核受益对象对项目实施效果的满意程度</t>
  </si>
  <si>
    <t>2025年度主要目标为：按照云南省公共文化领域财政事权和支出责任划分，完成对全省8个州（市）、县美术馆，150个州（市）、县公共图书馆，148个州（市）、县文化馆和1462个文化站所，省级免费开放专项资金的分配下达。</t>
  </si>
  <si>
    <t>全年免费开放天数</t>
  </si>
  <si>
    <t>245</t>
  </si>
  <si>
    <t>天</t>
  </si>
  <si>
    <t>反映和考核美术馆、公共图书馆、文化馆全年免费开放天数</t>
  </si>
  <si>
    <t>免费开放公共图书馆、美术馆、文化馆（站）个数</t>
  </si>
  <si>
    <t>1768</t>
  </si>
  <si>
    <t>反映和考核美术馆、公共图书馆、文化馆免费开放机构个数</t>
  </si>
  <si>
    <t>文化站免费开放时长(每周)</t>
  </si>
  <si>
    <t>28</t>
  </si>
  <si>
    <t>反映和考核文化站免费开放时长</t>
  </si>
  <si>
    <t>按时足额发放配套资金</t>
  </si>
  <si>
    <t>及时足额发放</t>
  </si>
  <si>
    <t>反映和考核配套资金是否按时足额发放</t>
  </si>
  <si>
    <t>参观人数增长率</t>
  </si>
  <si>
    <t>反映和考核美术馆、公共图书馆、文化馆参观人数增长率</t>
  </si>
  <si>
    <t>免费开放观众满意度</t>
  </si>
  <si>
    <t>反映免费开放观众满意度</t>
  </si>
  <si>
    <t>2025年实现列入中央免费开放经费补助名单的53家博物馆、纪念馆全部开放，开放率达到100%；53家免费开放的博物馆全年免费开放天数不少于240天；到博物馆参观人数达到150万人次；观众对公共服务满意度不低于90%，博物馆在弘扬中华优秀传统文化、铸牢中华民族共同体意识等作用显著发挥。</t>
  </si>
  <si>
    <t>免费开放博物馆数量</t>
  </si>
  <si>
    <t>53</t>
  </si>
  <si>
    <t>反映和考核免费开放博物馆数量是否达到预定目标。</t>
  </si>
  <si>
    <t>博物馆参观人数</t>
  </si>
  <si>
    <t>150</t>
  </si>
  <si>
    <t>万人次</t>
  </si>
  <si>
    <t>反映和考核博物馆参观人数是否达到预定目标。</t>
  </si>
  <si>
    <t>博物馆全年免费开放天数</t>
  </si>
  <si>
    <t>反映和考核博物馆全年免费开放天数是否达到预定目标。</t>
  </si>
  <si>
    <t>公共文化设施覆盖人群率</t>
  </si>
  <si>
    <t>反映和考核公共文化设施覆盖人群率是否达到预定目标。</t>
  </si>
  <si>
    <t>观众对公共服务满意度</t>
  </si>
  <si>
    <t>反映和考核观众对公共服务的满意度是否达到预定目标。</t>
  </si>
  <si>
    <t>根据《国家级文化生态保护区的管理办法》、《云南省财政厅云南省文化和旅游厅关于印发&lt;云南省非物质文化遗产保护专项资金管理办法&gt;的通知》,对省级非遗项目、国家级、省级文化生态保护区、省级非物质文化遗产代表性传承人按标准进行补助。一是省级非物质文化遗产代表性传承人有1370人，每年每人传承活动补助8000元，且按照不高于10%的标准评选优秀传承人并进行奖励；二是对省级非遗项目将逐年分批给予支持，今年预计补助15项；三是预计对大理、迪庆2个国家级文化生态保护区，按照规定给予国家级文化生态保护区配套资金。同时，补助5个省级文化生态保护区。</t>
  </si>
  <si>
    <t>省级非遗项目补助数量</t>
  </si>
  <si>
    <t>用以反映省级非遗项目补助数量是否达到评审通过个数</t>
  </si>
  <si>
    <t>补助国家级、省级文化生态保护区数量</t>
  </si>
  <si>
    <t>用以反映补助国家级、省级文化生态保护区个数是否达标</t>
  </si>
  <si>
    <t>补助传承人数量</t>
  </si>
  <si>
    <t>1370</t>
  </si>
  <si>
    <t>用以反映补助传承人数量是否达标</t>
  </si>
  <si>
    <t>补助对象准确率</t>
  </si>
  <si>
    <t>用以反映补助项目、传承人、生态保护区是否准确</t>
  </si>
  <si>
    <t>用以反映补助对非遗保护传承氛围的影响</t>
  </si>
  <si>
    <t>传承人满意度</t>
  </si>
  <si>
    <t>用以反映获补助传承人的满意程度</t>
  </si>
  <si>
    <t>预算10表</t>
  </si>
  <si>
    <t>2025年新增资产配置表</t>
  </si>
  <si>
    <t>资产类别</t>
  </si>
  <si>
    <t>资产分类代码.名称</t>
  </si>
  <si>
    <t>资产名称</t>
  </si>
  <si>
    <t>计量单位</t>
  </si>
  <si>
    <t>财政部门批复数（元）</t>
  </si>
  <si>
    <t>单价</t>
  </si>
  <si>
    <t>金额</t>
  </si>
  <si>
    <t>设备</t>
  </si>
  <si>
    <t>A02010109 平板式计算机</t>
  </si>
  <si>
    <t>A02010202 交换设备</t>
  </si>
  <si>
    <t>网络交换机</t>
  </si>
  <si>
    <t>A02010508 移动存储设备</t>
  </si>
  <si>
    <t>6TB硬盘</t>
  </si>
  <si>
    <t>块</t>
  </si>
  <si>
    <t>A02010599 其他存储设备</t>
  </si>
  <si>
    <t>高速复印机</t>
  </si>
  <si>
    <t>A02020502 通用照相机</t>
  </si>
  <si>
    <t>全景摄像机</t>
  </si>
  <si>
    <t>A02020599 其他照相机及器材</t>
  </si>
  <si>
    <t>摄像机电源</t>
  </si>
  <si>
    <t>A02021007 条码打印机</t>
  </si>
  <si>
    <t>A02021104 液晶显示器</t>
  </si>
  <si>
    <t>55寸液晶监视器</t>
  </si>
  <si>
    <t>A02029900 其他办公设备</t>
  </si>
  <si>
    <t>温湿度时钟屏</t>
  </si>
  <si>
    <t>A02080799 其他电话通信设备</t>
  </si>
  <si>
    <t>A02091102 通用摄像机</t>
  </si>
  <si>
    <t>500特写摄像机</t>
  </si>
  <si>
    <t>A02091199 其他视频设备</t>
  </si>
  <si>
    <t>A02091211 音箱</t>
  </si>
  <si>
    <t>多媒体音像</t>
  </si>
  <si>
    <t>高保真拾音器（高端）</t>
  </si>
  <si>
    <t>家具和用品</t>
  </si>
  <si>
    <t>办公椅（副处级）</t>
  </si>
  <si>
    <t>办公椅（正处级）</t>
  </si>
  <si>
    <t>A05010499 其他沙发类</t>
  </si>
  <si>
    <t>1.2米网络机柜</t>
  </si>
  <si>
    <t>预算11表</t>
  </si>
  <si>
    <t>2025年中央转移支付补助项目支出预算表</t>
  </si>
  <si>
    <t>上级补助</t>
  </si>
  <si>
    <t>提前下达2025年国家非物质文化遗产保护（省本级）资金</t>
  </si>
  <si>
    <t>预算12表</t>
  </si>
  <si>
    <t>2025年部门项目支出中期规划预算表</t>
  </si>
  <si>
    <t>项目级次</t>
  </si>
  <si>
    <t>2025年</t>
  </si>
  <si>
    <t>2026年</t>
  </si>
  <si>
    <t>2027年</t>
  </si>
  <si>
    <t>212 因公出国（境）经费</t>
  </si>
  <si>
    <t>本级</t>
  </si>
  <si>
    <t>223 专业信息系统运行维护费</t>
  </si>
  <si>
    <t>229 其他运转类</t>
  </si>
  <si>
    <t>311 专项业务类</t>
  </si>
  <si>
    <t>313 事业发展类</t>
  </si>
  <si>
    <t>323 事业发展类</t>
  </si>
  <si>
    <t>对下</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</si>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</sst>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hh:mm:ss"/>
    <numFmt numFmtId="178" formatCode="yyyy/mm/dd"/>
    <numFmt numFmtId="179" formatCode="yyyy/mm/dd\ hh:mm:ss"/>
    <numFmt numFmtId="180" formatCode="#,##0;\-#,##0;;@"/>
  </numFmts>
  <fonts count="40">
    <font>
      <sz val="11"/>
      <color theme="1"/>
      <name val="宋体"/>
      <charset val="134"/>
      <scheme val="minor"/>
    </font>
    <font>
      <sz val="10"/>
      <color rgb="FF000000"/>
      <name val="宋体"/>
      <charset val="134"/>
    </font>
    <font>
      <b/>
      <sz val="21"/>
      <color rgb="FF000000"/>
      <name val="宋体"/>
      <charset val="134"/>
    </font>
    <font>
      <sz val="9"/>
      <color rgb="FF000000"/>
      <name val="宋体"/>
      <charset val="134"/>
    </font>
    <font>
      <sz val="11"/>
      <color rgb="FF000000"/>
      <name val="宋体"/>
      <charset val="134"/>
    </font>
    <font>
      <sz val="9"/>
      <color theme="1"/>
      <name val="宋体"/>
      <charset val="134"/>
    </font>
    <font>
      <b/>
      <sz val="23"/>
      <color rgb="FF000000"/>
      <name val="宋体"/>
      <charset val="134"/>
    </font>
    <font>
      <sz val="9"/>
      <name val="宋体"/>
      <charset val="134"/>
    </font>
    <font>
      <b/>
      <sz val="19.5"/>
      <name val="宋体"/>
      <charset val="134"/>
    </font>
    <font>
      <sz val="10.5"/>
      <name val="宋体"/>
      <charset val="134"/>
    </font>
    <font>
      <sz val="9"/>
      <name val="SimSun"/>
      <charset val="134"/>
    </font>
    <font>
      <b/>
      <sz val="22"/>
      <color rgb="FF000000"/>
      <name val="宋体"/>
      <charset val="134"/>
    </font>
    <font>
      <sz val="10.5"/>
      <color rgb="FF000000"/>
      <name val="宋体"/>
      <charset val="134"/>
    </font>
    <font>
      <sz val="11"/>
      <color theme="1"/>
      <name val="宋体"/>
      <charset val="134"/>
    </font>
    <font>
      <sz val="9.75"/>
      <color rgb="FF000000"/>
      <name val="SimSun"/>
      <charset val="134"/>
    </font>
    <font>
      <b/>
      <sz val="18"/>
      <color rgb="FF000000"/>
      <name val="SimSun"/>
      <charset val="134"/>
    </font>
    <font>
      <sz val="12"/>
      <color rgb="FF000000"/>
      <name val="宋体"/>
      <charset val="134"/>
    </font>
    <font>
      <b/>
      <sz val="20"/>
      <color rgb="FF000000"/>
      <name val="宋体"/>
      <charset val="134"/>
    </font>
    <font>
      <b/>
      <sz val="11"/>
      <color rgb="FF000000"/>
      <name val="宋体"/>
      <charset val="134"/>
    </font>
    <font>
      <b/>
      <sz val="9"/>
      <color rgb="FF000000"/>
      <name val="宋体"/>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2" borderId="14"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5" applyNumberFormat="0" applyFill="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8" fillId="0" borderId="0" applyNumberFormat="0" applyFill="0" applyBorder="0" applyAlignment="0" applyProtection="0">
      <alignment vertical="center"/>
    </xf>
    <xf numFmtId="0" fontId="29" fillId="3" borderId="17" applyNumberFormat="0" applyAlignment="0" applyProtection="0">
      <alignment vertical="center"/>
    </xf>
    <xf numFmtId="0" fontId="30" fillId="4" borderId="18" applyNumberFormat="0" applyAlignment="0" applyProtection="0">
      <alignment vertical="center"/>
    </xf>
    <xf numFmtId="0" fontId="31" fillId="4" borderId="17" applyNumberFormat="0" applyAlignment="0" applyProtection="0">
      <alignment vertical="center"/>
    </xf>
    <xf numFmtId="0" fontId="32" fillId="5" borderId="19" applyNumberFormat="0" applyAlignment="0" applyProtection="0">
      <alignment vertical="center"/>
    </xf>
    <xf numFmtId="0" fontId="33" fillId="0" borderId="20" applyNumberFormat="0" applyFill="0" applyAlignment="0" applyProtection="0">
      <alignment vertical="center"/>
    </xf>
    <xf numFmtId="0" fontId="34" fillId="0" borderId="21"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176" fontId="7" fillId="0" borderId="7">
      <alignment horizontal="right" vertical="center"/>
    </xf>
    <xf numFmtId="49" fontId="7" fillId="0" borderId="7">
      <alignment horizontal="left" vertical="center" wrapText="1"/>
    </xf>
    <xf numFmtId="176" fontId="7" fillId="0" borderId="7">
      <alignment horizontal="right" vertical="center"/>
    </xf>
    <xf numFmtId="177" fontId="7" fillId="0" borderId="7">
      <alignment horizontal="right" vertical="center"/>
    </xf>
    <xf numFmtId="178" fontId="7" fillId="0" borderId="7">
      <alignment horizontal="right" vertical="center"/>
    </xf>
    <xf numFmtId="179" fontId="7" fillId="0" borderId="7">
      <alignment horizontal="right" vertical="center"/>
    </xf>
    <xf numFmtId="10" fontId="7" fillId="0" borderId="7">
      <alignment horizontal="right" vertical="center"/>
    </xf>
    <xf numFmtId="180" fontId="7" fillId="0" borderId="7">
      <alignment horizontal="right" vertical="center"/>
    </xf>
  </cellStyleXfs>
  <cellXfs count="172">
    <xf numFmtId="0" fontId="0" fillId="0" borderId="0" xfId="0"/>
    <xf numFmtId="49" fontId="1" fillId="0" borderId="0" xfId="0" applyNumberFormat="1" applyFont="1"/>
    <xf numFmtId="0" fontId="1" fillId="0" borderId="0" xfId="0" applyFont="1" applyAlignment="1" applyProtection="1">
      <alignment horizontal="right" vertical="center"/>
      <protection locked="0"/>
    </xf>
    <xf numFmtId="0" fontId="2" fillId="0" borderId="0" xfId="0" applyFont="1" applyAlignment="1">
      <alignment horizontal="center" vertical="center"/>
    </xf>
    <xf numFmtId="0" fontId="3" fillId="0" borderId="0" xfId="0" applyFont="1" applyAlignment="1" applyProtection="1">
      <alignment horizontal="left" vertical="center"/>
      <protection locked="0"/>
    </xf>
    <xf numFmtId="0" fontId="4" fillId="0" borderId="0" xfId="0" applyFont="1" applyAlignment="1">
      <alignment horizontal="left" vertical="center"/>
    </xf>
    <xf numFmtId="0" fontId="4" fillId="0" borderId="0" xfId="0" applyFont="1"/>
    <xf numFmtId="0" fontId="1" fillId="0" borderId="0" xfId="0" applyFont="1" applyAlignment="1" applyProtection="1">
      <alignment horizontal="right"/>
      <protection locked="0"/>
    </xf>
    <xf numFmtId="0" fontId="4" fillId="0" borderId="1" xfId="0" applyFont="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pplyProtection="1">
      <alignment horizontal="center" vertical="center" wrapText="1"/>
      <protection locked="0"/>
    </xf>
    <xf numFmtId="0" fontId="4" fillId="0" borderId="5" xfId="0" applyFont="1" applyBorder="1" applyAlignment="1">
      <alignment horizontal="center" vertical="center" wrapText="1"/>
    </xf>
    <xf numFmtId="0" fontId="4" fillId="0" borderId="1" xfId="0" applyFont="1" applyBorder="1" applyAlignment="1">
      <alignment horizontal="center" vertical="center"/>
    </xf>
    <xf numFmtId="0" fontId="4" fillId="0" borderId="6" xfId="0" applyFont="1" applyBorder="1" applyAlignment="1" applyProtection="1">
      <alignment horizontal="center" vertical="center" wrapText="1"/>
      <protection locked="0"/>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1" fillId="0" borderId="7" xfId="0" applyFont="1" applyBorder="1" applyAlignment="1">
      <alignment horizontal="center" vertical="center"/>
    </xf>
    <xf numFmtId="0" fontId="3" fillId="0" borderId="7" xfId="0" applyFont="1" applyBorder="1" applyAlignment="1" applyProtection="1">
      <alignment horizontal="left" vertical="center" wrapText="1"/>
      <protection locked="0"/>
    </xf>
    <xf numFmtId="0" fontId="3" fillId="0" borderId="7" xfId="0" applyFont="1" applyBorder="1" applyAlignment="1" applyProtection="1">
      <alignment horizontal="left" vertical="center"/>
      <protection locked="0"/>
    </xf>
    <xf numFmtId="176" fontId="5" fillId="0" borderId="7" xfId="51" applyFont="1">
      <alignment horizontal="right" vertical="center"/>
    </xf>
    <xf numFmtId="49" fontId="5" fillId="0" borderId="7" xfId="50" applyFont="1">
      <alignment horizontal="left" vertical="center" wrapText="1"/>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6" fillId="0" borderId="0" xfId="0" applyFont="1" applyAlignment="1">
      <alignment horizontal="center" vertical="center"/>
    </xf>
    <xf numFmtId="0" fontId="4" fillId="0" borderId="5" xfId="0" applyFont="1" applyBorder="1" applyAlignment="1">
      <alignment horizontal="center" vertical="center"/>
    </xf>
    <xf numFmtId="0" fontId="3" fillId="0" borderId="7" xfId="0" applyFont="1" applyBorder="1" applyAlignment="1">
      <alignment horizontal="left" vertical="center" wrapText="1"/>
    </xf>
    <xf numFmtId="0" fontId="1" fillId="0" borderId="2" xfId="0" applyFont="1" applyBorder="1" applyAlignment="1" applyProtection="1">
      <alignment horizontal="center" vertical="center" wrapText="1"/>
      <protection locked="0"/>
    </xf>
    <xf numFmtId="0" fontId="3" fillId="0" borderId="3" xfId="0" applyFont="1" applyBorder="1" applyAlignment="1">
      <alignment horizontal="left" vertical="center"/>
    </xf>
    <xf numFmtId="0" fontId="3" fillId="0" borderId="4" xfId="0" applyFont="1" applyBorder="1" applyAlignment="1">
      <alignment horizontal="left" vertical="center"/>
    </xf>
    <xf numFmtId="0" fontId="1" fillId="0" borderId="7" xfId="0" applyFont="1" applyBorder="1" applyAlignment="1" applyProtection="1">
      <alignment horizontal="center" vertical="center"/>
      <protection locked="0"/>
    </xf>
    <xf numFmtId="49" fontId="7" fillId="0" borderId="0" xfId="50" applyBorder="1">
      <alignment horizontal="left" vertical="center" wrapText="1"/>
    </xf>
    <xf numFmtId="49" fontId="7" fillId="0" borderId="0" xfId="50" applyBorder="1" applyAlignment="1">
      <alignment horizontal="right" vertical="center" wrapText="1"/>
    </xf>
    <xf numFmtId="49" fontId="8" fillId="0" borderId="0" xfId="50" applyFont="1" applyBorder="1" applyAlignment="1">
      <alignment horizontal="center" vertical="center" wrapText="1"/>
    </xf>
    <xf numFmtId="49" fontId="9" fillId="0" borderId="7" xfId="50" applyFont="1" applyAlignment="1">
      <alignment horizontal="center" vertical="center" wrapText="1"/>
    </xf>
    <xf numFmtId="49" fontId="10" fillId="0" borderId="7" xfId="50" applyAlignment="1">
      <alignment horizontal="center" vertical="center" wrapText="1"/>
    </xf>
    <xf numFmtId="49" fontId="9" fillId="0" borderId="7" xfId="50" applyFont="1">
      <alignment horizontal="left" vertical="center" wrapText="1"/>
    </xf>
    <xf numFmtId="180" fontId="7" fillId="0" borderId="7" xfId="56">
      <alignment horizontal="right" vertical="center"/>
    </xf>
    <xf numFmtId="176" fontId="7" fillId="0" borderId="7" xfId="51">
      <alignment horizontal="right" vertical="center"/>
    </xf>
    <xf numFmtId="0" fontId="11" fillId="0" borderId="0" xfId="0" applyFont="1" applyAlignment="1">
      <alignment horizontal="center" vertical="center"/>
    </xf>
    <xf numFmtId="0" fontId="6" fillId="0" borderId="0" xfId="0" applyFont="1" applyAlignment="1" applyProtection="1">
      <alignment horizontal="center" vertical="center"/>
      <protection locked="0"/>
    </xf>
    <xf numFmtId="0" fontId="4" fillId="0" borderId="7" xfId="0" applyFont="1" applyBorder="1" applyAlignment="1">
      <alignment horizontal="center" vertical="center" wrapText="1"/>
    </xf>
    <xf numFmtId="0" fontId="4" fillId="0" borderId="7" xfId="0" applyFont="1" applyBorder="1" applyAlignment="1" applyProtection="1">
      <alignment horizontal="center" vertical="center"/>
      <protection locked="0"/>
    </xf>
    <xf numFmtId="0" fontId="12" fillId="0" borderId="7" xfId="0" applyFont="1" applyBorder="1" applyAlignment="1">
      <alignment horizontal="left" vertical="center" wrapText="1"/>
    </xf>
    <xf numFmtId="0" fontId="12" fillId="0" borderId="7" xfId="0" applyFont="1" applyBorder="1" applyAlignment="1">
      <alignment vertical="center" wrapText="1"/>
    </xf>
    <xf numFmtId="0" fontId="12" fillId="0" borderId="7" xfId="0" applyFont="1" applyBorder="1" applyAlignment="1">
      <alignment horizontal="center" vertical="center" wrapText="1"/>
    </xf>
    <xf numFmtId="0" fontId="12" fillId="0" borderId="7" xfId="0" applyFont="1" applyBorder="1" applyAlignment="1" applyProtection="1">
      <alignment horizontal="center" vertical="center"/>
      <protection locked="0"/>
    </xf>
    <xf numFmtId="0" fontId="12" fillId="0" borderId="7" xfId="0" applyFont="1" applyBorder="1" applyAlignment="1">
      <alignment horizontal="left" vertical="center" wrapText="1" indent="1"/>
    </xf>
    <xf numFmtId="0" fontId="12" fillId="0" borderId="7" xfId="0" applyFont="1" applyBorder="1" applyAlignment="1" applyProtection="1">
      <alignment horizontal="left" vertical="center" wrapText="1"/>
      <protection locked="0"/>
    </xf>
    <xf numFmtId="0" fontId="3" fillId="0" borderId="0" xfId="0" applyFont="1" applyAlignment="1" applyProtection="1">
      <alignment horizontal="right" vertical="center"/>
      <protection locked="0"/>
    </xf>
    <xf numFmtId="0" fontId="1" fillId="0" borderId="0" xfId="0" applyFont="1" applyAlignment="1">
      <alignment horizontal="right" vertical="center"/>
    </xf>
    <xf numFmtId="0" fontId="11"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wrapText="1"/>
    </xf>
    <xf numFmtId="0" fontId="1" fillId="0" borderId="0" xfId="0" applyFont="1" applyAlignment="1">
      <alignment horizontal="right" wrapText="1"/>
    </xf>
    <xf numFmtId="0" fontId="1" fillId="0" borderId="0" xfId="0" applyFont="1" applyAlignment="1">
      <alignment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3" fillId="0" borderId="7" xfId="0" applyFont="1" applyBorder="1" applyAlignment="1">
      <alignment horizontal="left" vertical="center" wrapText="1" indent="1"/>
    </xf>
    <xf numFmtId="0" fontId="3" fillId="0" borderId="0" xfId="0" applyFont="1" applyAlignment="1" applyProtection="1">
      <alignment horizontal="right"/>
      <protection locked="0"/>
    </xf>
    <xf numFmtId="0" fontId="3" fillId="0" borderId="0" xfId="0" applyFont="1" applyAlignment="1" applyProtection="1">
      <alignment vertical="top" wrapText="1"/>
      <protection locked="0"/>
    </xf>
    <xf numFmtId="0" fontId="6" fillId="0" borderId="0" xfId="0" applyFont="1" applyAlignment="1">
      <alignment horizontal="center" vertical="center" wrapText="1"/>
    </xf>
    <xf numFmtId="0" fontId="6" fillId="0" borderId="0" xfId="0" applyFont="1" applyAlignment="1" applyProtection="1">
      <alignment horizontal="center" vertical="center" wrapText="1"/>
      <protection locked="0"/>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pplyProtection="1">
      <alignment horizontal="center" vertical="center" wrapText="1"/>
      <protection locked="0"/>
    </xf>
    <xf numFmtId="0" fontId="4" fillId="0" borderId="10" xfId="0" applyFont="1" applyBorder="1" applyAlignment="1">
      <alignment horizontal="center" vertical="center" wrapText="1"/>
    </xf>
    <xf numFmtId="0" fontId="4" fillId="0" borderId="10" xfId="0" applyFont="1" applyBorder="1" applyAlignment="1" applyProtection="1">
      <alignment horizontal="center" vertical="center" wrapText="1"/>
      <protection locked="0"/>
    </xf>
    <xf numFmtId="0" fontId="4" fillId="0" borderId="11" xfId="0" applyFont="1" applyBorder="1" applyAlignment="1">
      <alignment horizontal="center" vertical="center" wrapText="1"/>
    </xf>
    <xf numFmtId="0" fontId="4" fillId="0" borderId="11" xfId="0" applyFont="1" applyBorder="1" applyAlignment="1" applyProtection="1">
      <alignment horizontal="center" vertical="center" wrapText="1"/>
      <protection locked="0"/>
    </xf>
    <xf numFmtId="0" fontId="3" fillId="0" borderId="6" xfId="0" applyFont="1" applyBorder="1" applyAlignment="1">
      <alignment horizontal="left" vertical="center" wrapText="1"/>
    </xf>
    <xf numFmtId="0" fontId="3" fillId="0" borderId="11" xfId="0" applyFont="1" applyBorder="1" applyAlignment="1">
      <alignment horizontal="left" vertical="center" wrapText="1"/>
    </xf>
    <xf numFmtId="4" fontId="3" fillId="0" borderId="11" xfId="0" applyNumberFormat="1" applyFont="1" applyBorder="1" applyAlignment="1" applyProtection="1">
      <alignment horizontal="right" vertical="center"/>
      <protection locked="0"/>
    </xf>
    <xf numFmtId="0" fontId="3" fillId="0" borderId="6" xfId="0" applyFont="1" applyBorder="1" applyAlignment="1">
      <alignment horizontal="left" vertical="center" wrapText="1" indent="1"/>
    </xf>
    <xf numFmtId="0" fontId="3" fillId="0" borderId="0" xfId="0" applyFont="1" applyAlignment="1" applyProtection="1">
      <alignment horizontal="right" vertical="center" wrapText="1"/>
      <protection locked="0"/>
    </xf>
    <xf numFmtId="0" fontId="3" fillId="0" borderId="0" xfId="0" applyFont="1" applyAlignment="1">
      <alignment horizontal="right" vertical="center" wrapText="1"/>
    </xf>
    <xf numFmtId="0" fontId="3" fillId="0" borderId="0" xfId="0" applyFont="1" applyAlignment="1" applyProtection="1">
      <alignment horizontal="right" wrapText="1"/>
      <protection locked="0"/>
    </xf>
    <xf numFmtId="0" fontId="3" fillId="0" borderId="0" xfId="0" applyFont="1" applyAlignment="1">
      <alignment horizontal="right" wrapText="1"/>
    </xf>
    <xf numFmtId="0" fontId="4" fillId="0" borderId="3" xfId="0" applyFont="1" applyBorder="1" applyAlignment="1" applyProtection="1">
      <alignment horizontal="center" vertical="center"/>
      <protection locked="0"/>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pplyProtection="1">
      <alignment horizontal="center" vertical="center"/>
      <protection locked="0"/>
    </xf>
    <xf numFmtId="0" fontId="4" fillId="0" borderId="12"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4" fontId="3" fillId="0" borderId="7" xfId="0" applyNumberFormat="1" applyFont="1" applyBorder="1" applyAlignment="1" applyProtection="1">
      <alignment horizontal="right" vertical="center"/>
      <protection locked="0"/>
    </xf>
    <xf numFmtId="0" fontId="3" fillId="0" borderId="13" xfId="0" applyFont="1" applyBorder="1" applyAlignment="1">
      <alignment horizontal="center"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3" fillId="0" borderId="0" xfId="0" applyFont="1" applyAlignment="1">
      <alignment horizontal="left" vertical="center"/>
    </xf>
    <xf numFmtId="0" fontId="4" fillId="0" borderId="11" xfId="0" applyFont="1" applyBorder="1" applyAlignment="1">
      <alignment horizontal="center" vertical="center"/>
    </xf>
    <xf numFmtId="0" fontId="4" fillId="0" borderId="11" xfId="0" applyFont="1" applyBorder="1" applyAlignment="1" applyProtection="1">
      <alignment horizontal="center" vertical="center"/>
      <protection locked="0"/>
    </xf>
    <xf numFmtId="0" fontId="3" fillId="0" borderId="11" xfId="0" applyFont="1" applyBorder="1" applyAlignment="1">
      <alignment horizontal="right" vertical="center"/>
    </xf>
    <xf numFmtId="0" fontId="3" fillId="0" borderId="11" xfId="0" applyFont="1" applyBorder="1" applyAlignment="1">
      <alignment horizontal="center" vertical="center" wrapText="1"/>
    </xf>
    <xf numFmtId="180" fontId="5" fillId="0" borderId="7" xfId="56"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right"/>
    </xf>
    <xf numFmtId="0" fontId="3" fillId="0" borderId="0" xfId="0" applyFont="1" applyAlignment="1" applyProtection="1">
      <alignment horizontal="left" vertical="center" wrapText="1"/>
      <protection locked="0"/>
    </xf>
    <xf numFmtId="0" fontId="4" fillId="0" borderId="0" xfId="0" applyFont="1" applyAlignment="1">
      <alignment horizontal="left" vertical="center" wrapText="1"/>
    </xf>
    <xf numFmtId="0" fontId="1" fillId="0" borderId="0" xfId="0" applyFont="1" applyAlignment="1">
      <alignment horizontal="right"/>
    </xf>
    <xf numFmtId="0" fontId="1" fillId="0" borderId="7" xfId="0" applyFont="1" applyBorder="1" applyAlignment="1" applyProtection="1">
      <alignment horizontal="center" vertical="center" wrapText="1"/>
      <protection locked="0"/>
    </xf>
    <xf numFmtId="0" fontId="1" fillId="0" borderId="7" xfId="0" applyFont="1" applyBorder="1" applyAlignment="1">
      <alignment horizontal="center" vertical="center" wrapText="1"/>
    </xf>
    <xf numFmtId="0" fontId="0" fillId="0" borderId="0" xfId="0" applyFill="1" applyBorder="1" applyAlignment="1">
      <alignment vertical="center"/>
    </xf>
    <xf numFmtId="0" fontId="5" fillId="0" borderId="0" xfId="0" applyFont="1" applyAlignment="1">
      <alignment horizontal="left" vertical="center"/>
    </xf>
    <xf numFmtId="49" fontId="5" fillId="0" borderId="7" xfId="0" applyNumberFormat="1" applyFont="1" applyBorder="1" applyAlignment="1">
      <alignment horizontal="left" vertical="center" wrapText="1"/>
    </xf>
    <xf numFmtId="0" fontId="13" fillId="0" borderId="7" xfId="0" applyFont="1" applyBorder="1" applyAlignment="1">
      <alignment horizontal="center" vertical="center"/>
    </xf>
    <xf numFmtId="0" fontId="13" fillId="0" borderId="1" xfId="0" applyFont="1" applyBorder="1" applyAlignment="1">
      <alignment horizontal="center" vertical="center" wrapText="1"/>
    </xf>
    <xf numFmtId="4" fontId="3" fillId="0" borderId="7" xfId="0" applyNumberFormat="1" applyFont="1" applyBorder="1" applyAlignment="1" applyProtection="1">
      <alignment horizontal="right" vertical="center" wrapText="1"/>
      <protection locked="0"/>
    </xf>
    <xf numFmtId="0" fontId="1" fillId="0" borderId="0" xfId="0" applyFont="1" applyAlignment="1">
      <alignment vertical="top"/>
    </xf>
    <xf numFmtId="0" fontId="14" fillId="0" borderId="7" xfId="0" applyFont="1" applyBorder="1" applyAlignment="1">
      <alignment horizontal="center"/>
    </xf>
    <xf numFmtId="49" fontId="5" fillId="0" borderId="7" xfId="50" applyFont="1" applyAlignment="1">
      <alignment horizontal="left" vertical="center" wrapText="1" indent="1"/>
    </xf>
    <xf numFmtId="0" fontId="13" fillId="0" borderId="7" xfId="0" applyFont="1" applyBorder="1" applyAlignment="1">
      <alignment horizontal="center" vertical="center" wrapText="1"/>
    </xf>
    <xf numFmtId="0" fontId="1" fillId="0" borderId="0" xfId="0" applyFont="1" applyAlignment="1">
      <alignment horizontal="center" wrapText="1"/>
    </xf>
    <xf numFmtId="0" fontId="15" fillId="0" borderId="0" xfId="0" applyFont="1" applyAlignment="1">
      <alignment horizontal="center" vertical="center" wrapText="1"/>
    </xf>
    <xf numFmtId="0" fontId="16" fillId="0" borderId="7" xfId="0" applyFont="1" applyBorder="1" applyAlignment="1">
      <alignment horizontal="center" vertical="center" wrapText="1"/>
    </xf>
    <xf numFmtId="0" fontId="16" fillId="0" borderId="2" xfId="0" applyFont="1" applyBorder="1" applyAlignment="1">
      <alignment horizontal="center" vertical="center" wrapText="1"/>
    </xf>
    <xf numFmtId="4" fontId="3" fillId="0" borderId="7" xfId="0" applyNumberFormat="1" applyFont="1" applyBorder="1" applyAlignment="1">
      <alignment horizontal="right" vertical="center"/>
    </xf>
    <xf numFmtId="4" fontId="3" fillId="0" borderId="2" xfId="0" applyNumberFormat="1" applyFont="1" applyBorder="1" applyAlignment="1">
      <alignment horizontal="right" vertical="center"/>
    </xf>
    <xf numFmtId="49" fontId="4" fillId="0" borderId="2"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4" fillId="0" borderId="9" xfId="0" applyFont="1" applyBorder="1" applyAlignment="1">
      <alignment horizontal="center" vertical="center"/>
    </xf>
    <xf numFmtId="49" fontId="4" fillId="0" borderId="6"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7" xfId="0" applyNumberFormat="1" applyFont="1" applyBorder="1" applyAlignment="1">
      <alignment horizontal="center" vertical="center"/>
    </xf>
    <xf numFmtId="0" fontId="3" fillId="0" borderId="7" xfId="0" applyFont="1" applyBorder="1" applyAlignment="1">
      <alignment horizontal="left" vertical="center" wrapText="1" indent="2"/>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4" fillId="0" borderId="1" xfId="0" applyFont="1" applyBorder="1" applyAlignment="1" applyProtection="1">
      <alignment horizontal="center" vertical="center"/>
      <protection locked="0"/>
    </xf>
    <xf numFmtId="0" fontId="19" fillId="0" borderId="7" xfId="0" applyFont="1" applyBorder="1" applyAlignment="1">
      <alignment vertical="center"/>
    </xf>
    <xf numFmtId="4" fontId="19" fillId="0" borderId="7" xfId="0" applyNumberFormat="1" applyFont="1" applyBorder="1" applyAlignment="1" applyProtection="1">
      <alignment horizontal="right" vertical="center"/>
      <protection locked="0"/>
    </xf>
    <xf numFmtId="49" fontId="19" fillId="0" borderId="7" xfId="50" applyFont="1">
      <alignment horizontal="left" vertical="center" wrapText="1"/>
    </xf>
    <xf numFmtId="0" fontId="5" fillId="0" borderId="7" xfId="0" applyFont="1" applyBorder="1" applyAlignment="1">
      <alignment vertical="center"/>
    </xf>
    <xf numFmtId="0" fontId="3" fillId="0" borderId="7" xfId="0" applyFont="1" applyBorder="1" applyAlignment="1">
      <alignment vertical="center"/>
    </xf>
    <xf numFmtId="4" fontId="19" fillId="0" borderId="7" xfId="0" applyNumberFormat="1" applyFont="1" applyBorder="1" applyAlignment="1">
      <alignment horizontal="right" vertical="center"/>
    </xf>
    <xf numFmtId="0" fontId="5" fillId="0" borderId="7" xfId="0" applyFont="1" applyBorder="1" applyAlignment="1">
      <alignment horizontal="left" vertical="center"/>
    </xf>
    <xf numFmtId="0" fontId="19" fillId="0" borderId="7" xfId="0" applyFont="1" applyBorder="1" applyAlignment="1">
      <alignment horizontal="center" vertical="center"/>
    </xf>
    <xf numFmtId="0" fontId="19" fillId="0" borderId="7" xfId="0" applyFont="1" applyBorder="1" applyAlignment="1" applyProtection="1">
      <alignment horizontal="center" vertical="center"/>
      <protection locked="0"/>
    </xf>
    <xf numFmtId="0" fontId="3" fillId="0" borderId="7" xfId="0" applyFont="1" applyBorder="1" applyAlignment="1">
      <alignment horizontal="left" vertical="center"/>
    </xf>
    <xf numFmtId="0" fontId="1" fillId="0" borderId="1" xfId="0" applyFont="1" applyBorder="1" applyAlignment="1">
      <alignment horizontal="center" vertical="center" wrapText="1"/>
    </xf>
    <xf numFmtId="0" fontId="11" fillId="0" borderId="0" xfId="0" applyFont="1" applyAlignment="1" applyProtection="1">
      <alignment horizontal="center" vertical="center"/>
      <protection locked="0"/>
    </xf>
    <xf numFmtId="0" fontId="1"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3" fillId="0" borderId="7" xfId="0" applyFont="1" applyBorder="1" applyAlignment="1" applyProtection="1">
      <alignment horizontal="center" vertical="center"/>
      <protection locked="0"/>
    </xf>
    <xf numFmtId="0" fontId="3" fillId="0" borderId="7" xfId="0" applyFont="1" applyBorder="1" applyAlignment="1" applyProtection="1">
      <alignment horizontal="right" vertical="center"/>
      <protection locked="0"/>
    </xf>
    <xf numFmtId="0" fontId="1" fillId="0" borderId="0" xfId="0" applyFont="1" applyProtection="1">
      <protection locked="0"/>
    </xf>
    <xf numFmtId="0" fontId="4" fillId="0" borderId="0" xfId="0" applyFont="1" applyProtection="1">
      <protection locked="0"/>
    </xf>
    <xf numFmtId="0" fontId="1" fillId="0" borderId="3" xfId="0" applyFont="1" applyBorder="1" applyAlignment="1" applyProtection="1">
      <alignment horizontal="center" vertical="center"/>
      <protection locked="0"/>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pplyProtection="1">
      <alignment horizontal="center" vertical="center"/>
      <protection locked="0"/>
    </xf>
    <xf numFmtId="0" fontId="1" fillId="0" borderId="11" xfId="0" applyFont="1" applyBorder="1" applyAlignment="1">
      <alignment horizontal="center" vertical="center" wrapText="1"/>
    </xf>
    <xf numFmtId="0" fontId="20" fillId="0" borderId="1" xfId="0" applyFont="1" applyBorder="1" applyAlignment="1">
      <alignment horizontal="center" vertical="center" wrapText="1"/>
    </xf>
    <xf numFmtId="0" fontId="1" fillId="0" borderId="11"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protection locked="0"/>
    </xf>
    <xf numFmtId="0" fontId="6" fillId="0" borderId="0" xfId="0" applyFont="1" applyAlignment="1">
      <alignment horizontal="center" vertical="top"/>
    </xf>
    <xf numFmtId="0" fontId="3" fillId="0" borderId="6" xfId="0" applyFont="1" applyBorder="1" applyAlignment="1">
      <alignment horizontal="left" vertical="center"/>
    </xf>
    <xf numFmtId="0" fontId="19" fillId="0" borderId="6" xfId="0" applyFont="1" applyBorder="1" applyAlignment="1">
      <alignment horizontal="center" vertical="center"/>
    </xf>
    <xf numFmtId="0" fontId="19" fillId="0" borderId="6" xfId="0" applyFont="1" applyBorder="1" applyAlignment="1">
      <alignment horizontal="left" vertical="center"/>
    </xf>
    <xf numFmtId="0" fontId="19" fillId="0" borderId="7" xfId="0" applyFont="1" applyBorder="1" applyAlignment="1">
      <alignment horizontal="left" vertical="center"/>
    </xf>
    <xf numFmtId="176" fontId="19" fillId="0" borderId="7" xfId="0" applyNumberFormat="1" applyFont="1" applyBorder="1" applyAlignment="1">
      <alignment horizontal="right" vertical="center"/>
    </xf>
    <xf numFmtId="0" fontId="5" fillId="0" borderId="6" xfId="0" applyFont="1" applyBorder="1" applyAlignment="1">
      <alignment horizontal="left" vertical="center"/>
    </xf>
    <xf numFmtId="0" fontId="19" fillId="0" borderId="6" xfId="0" applyFont="1" applyBorder="1" applyAlignment="1" applyProtection="1">
      <alignment horizontal="center" vertical="center"/>
      <protection locked="0"/>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umberStyle" xfId="49"/>
    <cellStyle name="TextStyle" xfId="50"/>
    <cellStyle name="MoneyStyle" xfId="51"/>
    <cellStyle name="TimeStyle" xfId="52"/>
    <cellStyle name="DateStyle" xfId="53"/>
    <cellStyle name="DateTimeStyle" xfId="54"/>
    <cellStyle name="PercentStyle" xfId="55"/>
    <cellStyle name="IntegralNumberStyle"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D21"/>
  <sheetViews>
    <sheetView showZeros="0" topLeftCell="A7" workbookViewId="0">
      <selection activeCell="A1" sqref="A1"/>
    </sheetView>
  </sheetViews>
  <sheetFormatPr defaultColWidth="8" defaultRowHeight="14.25" customHeight="1" outlineLevelCol="3"/>
  <cols>
    <col min="1" max="1" width="39.5740740740741" customWidth="1"/>
    <col min="2" max="2" width="46.3148148148148" customWidth="1"/>
    <col min="3" max="3" width="40.4259259259259" customWidth="1"/>
    <col min="4" max="4" width="50.1759259259259" customWidth="1"/>
  </cols>
  <sheetData>
    <row r="1" ht="12" customHeight="1" spans="4:4">
      <c r="D1" s="98" t="s">
        <v>0</v>
      </c>
    </row>
    <row r="2" ht="36" customHeight="1" spans="1:4">
      <c r="A2" s="42" t="s">
        <v>1</v>
      </c>
      <c r="B2" s="164"/>
      <c r="C2" s="164"/>
      <c r="D2" s="164"/>
    </row>
    <row r="3" ht="21" customHeight="1" spans="1:4">
      <c r="A3" s="91" t="str">
        <f>"单位名称："&amp;"云南省文化和旅游厅"</f>
        <v>单位名称：云南省文化和旅游厅</v>
      </c>
      <c r="B3" s="130"/>
      <c r="C3" s="130"/>
      <c r="D3" s="97" t="s">
        <v>2</v>
      </c>
    </row>
    <row r="4" ht="19.5" customHeight="1" spans="1:4">
      <c r="A4" s="10" t="s">
        <v>3</v>
      </c>
      <c r="B4" s="12"/>
      <c r="C4" s="10" t="s">
        <v>4</v>
      </c>
      <c r="D4" s="12"/>
    </row>
    <row r="5" ht="19.5" customHeight="1" spans="1:4">
      <c r="A5" s="15" t="s">
        <v>5</v>
      </c>
      <c r="B5" s="15" t="s">
        <v>6</v>
      </c>
      <c r="C5" s="15" t="s">
        <v>7</v>
      </c>
      <c r="D5" s="15" t="s">
        <v>6</v>
      </c>
    </row>
    <row r="6" ht="19.5" customHeight="1" spans="1:4">
      <c r="A6" s="18"/>
      <c r="B6" s="18"/>
      <c r="C6" s="18"/>
      <c r="D6" s="18"/>
    </row>
    <row r="7" ht="25.4" customHeight="1" spans="1:4">
      <c r="A7" s="141" t="s">
        <v>8</v>
      </c>
      <c r="B7" s="118">
        <v>228512176.36</v>
      </c>
      <c r="C7" s="23" t="str">
        <f>"一"&amp;"、"&amp;"一般公共服务支出"</f>
        <v>一、一般公共服务支出</v>
      </c>
      <c r="D7" s="118">
        <v>434790</v>
      </c>
    </row>
    <row r="8" ht="25.4" customHeight="1" spans="1:4">
      <c r="A8" s="141" t="s">
        <v>9</v>
      </c>
      <c r="B8" s="118"/>
      <c r="C8" s="23" t="str">
        <f>"二"&amp;"、"&amp;"文化旅游体育与传媒支出"</f>
        <v>二、文化旅游体育与传媒支出</v>
      </c>
      <c r="D8" s="118">
        <v>296695032.79</v>
      </c>
    </row>
    <row r="9" ht="25.4" customHeight="1" spans="1:4">
      <c r="A9" s="141" t="s">
        <v>10</v>
      </c>
      <c r="B9" s="118"/>
      <c r="C9" s="23" t="str">
        <f>"三"&amp;"、"&amp;"社会保障和就业支出"</f>
        <v>三、社会保障和就业支出</v>
      </c>
      <c r="D9" s="118">
        <v>3360716.48</v>
      </c>
    </row>
    <row r="10" ht="25.4" customHeight="1" spans="1:4">
      <c r="A10" s="141" t="s">
        <v>11</v>
      </c>
      <c r="B10" s="87"/>
      <c r="C10" s="23" t="str">
        <f>"四"&amp;"、"&amp;"卫生健康支出"</f>
        <v>四、卫生健康支出</v>
      </c>
      <c r="D10" s="118">
        <v>5380416.38</v>
      </c>
    </row>
    <row r="11" ht="25.4" customHeight="1" spans="1:4">
      <c r="A11" s="141" t="s">
        <v>12</v>
      </c>
      <c r="B11" s="118">
        <v>2900000</v>
      </c>
      <c r="C11" s="23" t="str">
        <f>"五"&amp;"、"&amp;"住房保障支出"</f>
        <v>五、住房保障支出</v>
      </c>
      <c r="D11" s="118">
        <v>2468860.72</v>
      </c>
    </row>
    <row r="12" ht="25.4" customHeight="1" spans="1:4">
      <c r="A12" s="141" t="s">
        <v>13</v>
      </c>
      <c r="B12" s="87"/>
      <c r="C12" s="23" t="str">
        <f>"六"&amp;"、"&amp;"转移性支出"</f>
        <v>六、转移性支出</v>
      </c>
      <c r="D12" s="118"/>
    </row>
    <row r="13" ht="25.4" customHeight="1" spans="1:4">
      <c r="A13" s="141" t="s">
        <v>14</v>
      </c>
      <c r="B13" s="87"/>
      <c r="C13" s="23"/>
      <c r="D13" s="118"/>
    </row>
    <row r="14" ht="25.4" customHeight="1" spans="1:4">
      <c r="A14" s="141" t="s">
        <v>15</v>
      </c>
      <c r="B14" s="87">
        <v>2900000</v>
      </c>
      <c r="C14" s="23"/>
      <c r="D14" s="118"/>
    </row>
    <row r="15" ht="25.4" customHeight="1" spans="1:4">
      <c r="A15" s="165" t="s">
        <v>16</v>
      </c>
      <c r="B15" s="87"/>
      <c r="C15" s="23"/>
      <c r="D15" s="118"/>
    </row>
    <row r="16" ht="25.4" customHeight="1" spans="1:4">
      <c r="A16" s="165" t="s">
        <v>17</v>
      </c>
      <c r="B16" s="118"/>
      <c r="C16" s="23"/>
      <c r="D16" s="118"/>
    </row>
    <row r="17" ht="25.4" customHeight="1" spans="1:4">
      <c r="A17" s="166" t="s">
        <v>18</v>
      </c>
      <c r="B17" s="137">
        <v>231412176.36</v>
      </c>
      <c r="C17" s="139" t="s">
        <v>19</v>
      </c>
      <c r="D17" s="137">
        <v>308339816.37</v>
      </c>
    </row>
    <row r="18" ht="25.4" customHeight="1" spans="1:4">
      <c r="A18" s="167" t="s">
        <v>20</v>
      </c>
      <c r="B18" s="137">
        <v>76927640.01</v>
      </c>
      <c r="C18" s="168" t="s">
        <v>21</v>
      </c>
      <c r="D18" s="169"/>
    </row>
    <row r="19" ht="25.4" customHeight="1" spans="1:4">
      <c r="A19" s="170" t="s">
        <v>22</v>
      </c>
      <c r="B19" s="118">
        <v>76427640.01</v>
      </c>
      <c r="C19" s="138" t="s">
        <v>22</v>
      </c>
      <c r="D19" s="87"/>
    </row>
    <row r="20" ht="25.4" customHeight="1" spans="1:4">
      <c r="A20" s="170" t="s">
        <v>23</v>
      </c>
      <c r="B20" s="118">
        <v>500000</v>
      </c>
      <c r="C20" s="138" t="s">
        <v>24</v>
      </c>
      <c r="D20" s="87"/>
    </row>
    <row r="21" ht="25.4" customHeight="1" spans="1:4">
      <c r="A21" s="171" t="s">
        <v>25</v>
      </c>
      <c r="B21" s="137">
        <v>308339816.37</v>
      </c>
      <c r="C21" s="139" t="s">
        <v>26</v>
      </c>
      <c r="D21" s="133">
        <v>308339816.37</v>
      </c>
    </row>
  </sheetData>
  <mergeCells count="8">
    <mergeCell ref="A2:D2"/>
    <mergeCell ref="A3:B3"/>
    <mergeCell ref="A4:B4"/>
    <mergeCell ref="C4:D4"/>
    <mergeCell ref="A5:A6"/>
    <mergeCell ref="B5:B6"/>
    <mergeCell ref="C5:C6"/>
    <mergeCell ref="D5:D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S9"/>
  <sheetViews>
    <sheetView showZeros="0" workbookViewId="0">
      <selection activeCell="A1" sqref="A1"/>
    </sheetView>
  </sheetViews>
  <sheetFormatPr defaultColWidth="8" defaultRowHeight="14.25" customHeight="1"/>
  <cols>
    <col min="1" max="1" width="21.1388888888889" customWidth="1"/>
    <col min="2" max="2" width="35.2777777777778" customWidth="1"/>
    <col min="3" max="19" width="16.1759259259259" customWidth="1"/>
  </cols>
  <sheetData>
    <row r="1" ht="12" customHeight="1" spans="1:18">
      <c r="A1" s="22"/>
      <c r="J1" s="154"/>
      <c r="R1" s="2" t="s">
        <v>27</v>
      </c>
    </row>
    <row r="2" ht="36" customHeight="1" spans="1:19">
      <c r="A2" s="143" t="s">
        <v>28</v>
      </c>
      <c r="B2" s="27"/>
      <c r="C2" s="27"/>
      <c r="D2" s="27"/>
      <c r="E2" s="27"/>
      <c r="F2" s="27"/>
      <c r="G2" s="27"/>
      <c r="H2" s="27"/>
      <c r="I2" s="27"/>
      <c r="J2" s="43"/>
      <c r="K2" s="27"/>
      <c r="L2" s="27"/>
      <c r="M2" s="27"/>
      <c r="N2" s="27"/>
      <c r="O2" s="27"/>
      <c r="P2" s="27"/>
      <c r="Q2" s="27"/>
      <c r="R2" s="27"/>
      <c r="S2" s="27"/>
    </row>
    <row r="3" ht="20.25" customHeight="1" spans="1:19">
      <c r="A3" s="91" t="str">
        <f>"单位名称："&amp;"云南省文化和旅游厅"</f>
        <v>单位名称：云南省文化和旅游厅</v>
      </c>
      <c r="B3" s="6"/>
      <c r="C3" s="6"/>
      <c r="D3" s="6"/>
      <c r="E3" s="6"/>
      <c r="F3" s="6"/>
      <c r="G3" s="6"/>
      <c r="H3" s="6"/>
      <c r="I3" s="6"/>
      <c r="J3" s="155"/>
      <c r="K3" s="6"/>
      <c r="L3" s="6"/>
      <c r="M3" s="6"/>
      <c r="N3" s="7"/>
      <c r="O3" s="7"/>
      <c r="P3" s="7"/>
      <c r="Q3" s="7"/>
      <c r="R3" s="7" t="s">
        <v>2</v>
      </c>
      <c r="S3" s="7" t="s">
        <v>2</v>
      </c>
    </row>
    <row r="4" ht="18.75" customHeight="1" spans="1:19">
      <c r="A4" s="144" t="s">
        <v>29</v>
      </c>
      <c r="B4" s="145" t="s">
        <v>30</v>
      </c>
      <c r="C4" s="145" t="s">
        <v>31</v>
      </c>
      <c r="D4" s="146" t="s">
        <v>32</v>
      </c>
      <c r="E4" s="147"/>
      <c r="F4" s="147"/>
      <c r="G4" s="147"/>
      <c r="H4" s="147"/>
      <c r="I4" s="147"/>
      <c r="J4" s="156"/>
      <c r="K4" s="147"/>
      <c r="L4" s="147"/>
      <c r="M4" s="147"/>
      <c r="N4" s="157"/>
      <c r="O4" s="157" t="s">
        <v>20</v>
      </c>
      <c r="P4" s="157"/>
      <c r="Q4" s="157"/>
      <c r="R4" s="157"/>
      <c r="S4" s="157"/>
    </row>
    <row r="5" ht="18" customHeight="1" spans="1:19">
      <c r="A5" s="148"/>
      <c r="B5" s="149"/>
      <c r="C5" s="149"/>
      <c r="D5" s="149" t="s">
        <v>33</v>
      </c>
      <c r="E5" s="149" t="s">
        <v>34</v>
      </c>
      <c r="F5" s="149" t="s">
        <v>35</v>
      </c>
      <c r="G5" s="149" t="s">
        <v>36</v>
      </c>
      <c r="H5" s="149" t="s">
        <v>37</v>
      </c>
      <c r="I5" s="158" t="s">
        <v>38</v>
      </c>
      <c r="J5" s="159"/>
      <c r="K5" s="158" t="s">
        <v>39</v>
      </c>
      <c r="L5" s="158" t="s">
        <v>40</v>
      </c>
      <c r="M5" s="158" t="s">
        <v>41</v>
      </c>
      <c r="N5" s="160" t="s">
        <v>42</v>
      </c>
      <c r="O5" s="161" t="s">
        <v>33</v>
      </c>
      <c r="P5" s="161" t="s">
        <v>34</v>
      </c>
      <c r="Q5" s="161" t="s">
        <v>35</v>
      </c>
      <c r="R5" s="161" t="s">
        <v>36</v>
      </c>
      <c r="S5" s="161" t="s">
        <v>43</v>
      </c>
    </row>
    <row r="6" ht="29.25" customHeight="1" spans="1:19">
      <c r="A6" s="150"/>
      <c r="B6" s="151"/>
      <c r="C6" s="151"/>
      <c r="D6" s="151"/>
      <c r="E6" s="151"/>
      <c r="F6" s="151"/>
      <c r="G6" s="151"/>
      <c r="H6" s="151"/>
      <c r="I6" s="162" t="s">
        <v>33</v>
      </c>
      <c r="J6" s="162" t="s">
        <v>44</v>
      </c>
      <c r="K6" s="162" t="s">
        <v>39</v>
      </c>
      <c r="L6" s="162" t="s">
        <v>40</v>
      </c>
      <c r="M6" s="162" t="s">
        <v>41</v>
      </c>
      <c r="N6" s="162" t="s">
        <v>42</v>
      </c>
      <c r="O6" s="162"/>
      <c r="P6" s="162"/>
      <c r="Q6" s="162"/>
      <c r="R6" s="162"/>
      <c r="S6" s="162"/>
    </row>
    <row r="7" ht="16.5" customHeight="1" spans="1:19">
      <c r="A7" s="127">
        <v>1</v>
      </c>
      <c r="B7" s="19">
        <v>2</v>
      </c>
      <c r="C7" s="19">
        <v>3</v>
      </c>
      <c r="D7" s="19">
        <v>4</v>
      </c>
      <c r="E7" s="127">
        <v>5</v>
      </c>
      <c r="F7" s="19">
        <v>6</v>
      </c>
      <c r="G7" s="19">
        <v>7</v>
      </c>
      <c r="H7" s="127">
        <v>8</v>
      </c>
      <c r="I7" s="19">
        <v>9</v>
      </c>
      <c r="J7" s="33">
        <v>10</v>
      </c>
      <c r="K7" s="33">
        <v>11</v>
      </c>
      <c r="L7" s="163">
        <v>12</v>
      </c>
      <c r="M7" s="33">
        <v>13</v>
      </c>
      <c r="N7" s="33">
        <v>14</v>
      </c>
      <c r="O7" s="33">
        <v>15</v>
      </c>
      <c r="P7" s="33">
        <v>16</v>
      </c>
      <c r="Q7" s="33">
        <v>17</v>
      </c>
      <c r="R7" s="33">
        <v>18</v>
      </c>
      <c r="S7" s="33">
        <v>19</v>
      </c>
    </row>
    <row r="8" ht="31.4" customHeight="1" spans="1:19">
      <c r="A8" s="29" t="s">
        <v>45</v>
      </c>
      <c r="B8" s="29" t="s">
        <v>46</v>
      </c>
      <c r="C8" s="22">
        <v>308339816.37</v>
      </c>
      <c r="D8" s="118">
        <v>231412176.36</v>
      </c>
      <c r="E8" s="87">
        <v>228512176.36</v>
      </c>
      <c r="F8" s="87"/>
      <c r="G8" s="87"/>
      <c r="H8" s="87"/>
      <c r="I8" s="87">
        <v>2900000</v>
      </c>
      <c r="J8" s="87"/>
      <c r="K8" s="87"/>
      <c r="L8" s="87">
        <v>2900000</v>
      </c>
      <c r="M8" s="87"/>
      <c r="N8" s="87"/>
      <c r="O8" s="87">
        <v>76927640.01</v>
      </c>
      <c r="P8" s="87">
        <v>76427640.01</v>
      </c>
      <c r="Q8" s="87"/>
      <c r="R8" s="87"/>
      <c r="S8" s="87">
        <v>500000</v>
      </c>
    </row>
    <row r="9" ht="16.5" customHeight="1" spans="1:19">
      <c r="A9" s="152" t="s">
        <v>31</v>
      </c>
      <c r="B9" s="153"/>
      <c r="C9" s="118">
        <v>308339816.37</v>
      </c>
      <c r="D9" s="118">
        <v>231412176.36</v>
      </c>
      <c r="E9" s="87">
        <v>228512176.36</v>
      </c>
      <c r="F9" s="87"/>
      <c r="G9" s="87"/>
      <c r="H9" s="87"/>
      <c r="I9" s="87">
        <v>2900000</v>
      </c>
      <c r="J9" s="87"/>
      <c r="K9" s="87"/>
      <c r="L9" s="87">
        <v>2900000</v>
      </c>
      <c r="M9" s="87"/>
      <c r="N9" s="87"/>
      <c r="O9" s="87">
        <v>76927640.01</v>
      </c>
      <c r="P9" s="87">
        <v>76427640.01</v>
      </c>
      <c r="Q9" s="87"/>
      <c r="R9" s="87"/>
      <c r="S9" s="87">
        <v>500000</v>
      </c>
    </row>
  </sheetData>
  <mergeCells count="20">
    <mergeCell ref="R1:S1"/>
    <mergeCell ref="A2:S2"/>
    <mergeCell ref="A3:D3"/>
    <mergeCell ref="R3:S3"/>
    <mergeCell ref="D4:N4"/>
    <mergeCell ref="O4:S4"/>
    <mergeCell ref="I5:N5"/>
    <mergeCell ref="A4:A6"/>
    <mergeCell ref="B4:B6"/>
    <mergeCell ref="C4:C6"/>
    <mergeCell ref="D5:D6"/>
    <mergeCell ref="E5:E6"/>
    <mergeCell ref="F5:F6"/>
    <mergeCell ref="G5:G6"/>
    <mergeCell ref="H5:H6"/>
    <mergeCell ref="O5:O6"/>
    <mergeCell ref="P5:P6"/>
    <mergeCell ref="Q5:Q6"/>
    <mergeCell ref="R5:R6"/>
    <mergeCell ref="S5:S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O37"/>
  <sheetViews>
    <sheetView showZeros="0" workbookViewId="0">
      <selection activeCell="A1" sqref="A1"/>
    </sheetView>
  </sheetViews>
  <sheetFormatPr defaultColWidth="9.13888888888889" defaultRowHeight="14.25" customHeight="1"/>
  <cols>
    <col min="1" max="1" width="14.2777777777778" customWidth="1"/>
    <col min="2" max="2" width="32.5740740740741" customWidth="1"/>
    <col min="3" max="6" width="18.8518518518519" customWidth="1"/>
    <col min="7" max="7" width="21.2777777777778" customWidth="1"/>
    <col min="8" max="9" width="18.8518518518519" customWidth="1"/>
    <col min="10" max="10" width="17.8518518518519" customWidth="1"/>
    <col min="11" max="15" width="18.8518518518519" customWidth="1"/>
  </cols>
  <sheetData>
    <row r="1" ht="15.75" customHeight="1" spans="15:15">
      <c r="O1" s="53" t="s">
        <v>47</v>
      </c>
    </row>
    <row r="2" ht="28.5" customHeight="1" spans="1:15">
      <c r="A2" s="27" t="s">
        <v>48</v>
      </c>
      <c r="B2" s="27"/>
      <c r="C2" s="27"/>
      <c r="D2" s="27"/>
      <c r="E2" s="27"/>
      <c r="F2" s="27"/>
      <c r="G2" s="27"/>
      <c r="H2" s="27"/>
      <c r="I2" s="27"/>
      <c r="J2" s="27"/>
      <c r="K2" s="27"/>
      <c r="L2" s="27"/>
      <c r="M2" s="27"/>
      <c r="N2" s="27"/>
      <c r="O2" s="27"/>
    </row>
    <row r="3" ht="15" customHeight="1" spans="1:15">
      <c r="A3" s="99" t="str">
        <f>"单位名称："&amp;"云南省文化和旅游厅"</f>
        <v>单位名称：云南省文化和旅游厅</v>
      </c>
      <c r="B3" s="100"/>
      <c r="C3" s="56"/>
      <c r="D3" s="56"/>
      <c r="E3" s="56"/>
      <c r="F3" s="56"/>
      <c r="G3" s="6"/>
      <c r="H3" s="56"/>
      <c r="I3" s="56"/>
      <c r="J3" s="6"/>
      <c r="K3" s="56"/>
      <c r="L3" s="56"/>
      <c r="M3" s="6"/>
      <c r="N3" s="6"/>
      <c r="O3" s="101" t="s">
        <v>2</v>
      </c>
    </row>
    <row r="4" ht="18.75" customHeight="1" spans="1:15">
      <c r="A4" s="9" t="s">
        <v>49</v>
      </c>
      <c r="B4" s="9" t="s">
        <v>50</v>
      </c>
      <c r="C4" s="15" t="s">
        <v>31</v>
      </c>
      <c r="D4" s="60" t="s">
        <v>34</v>
      </c>
      <c r="E4" s="60"/>
      <c r="F4" s="60"/>
      <c r="G4" s="142" t="s">
        <v>35</v>
      </c>
      <c r="H4" s="9" t="s">
        <v>36</v>
      </c>
      <c r="I4" s="9" t="s">
        <v>51</v>
      </c>
      <c r="J4" s="10" t="s">
        <v>52</v>
      </c>
      <c r="K4" s="67" t="s">
        <v>53</v>
      </c>
      <c r="L4" s="67" t="s">
        <v>54</v>
      </c>
      <c r="M4" s="67" t="s">
        <v>55</v>
      </c>
      <c r="N4" s="67" t="s">
        <v>56</v>
      </c>
      <c r="O4" s="82" t="s">
        <v>57</v>
      </c>
    </row>
    <row r="5" ht="30" customHeight="1" spans="1:15">
      <c r="A5" s="18"/>
      <c r="B5" s="18"/>
      <c r="C5" s="18"/>
      <c r="D5" s="60" t="s">
        <v>33</v>
      </c>
      <c r="E5" s="60" t="s">
        <v>58</v>
      </c>
      <c r="F5" s="60" t="s">
        <v>59</v>
      </c>
      <c r="G5" s="18"/>
      <c r="H5" s="18"/>
      <c r="I5" s="18"/>
      <c r="J5" s="60" t="s">
        <v>33</v>
      </c>
      <c r="K5" s="86" t="s">
        <v>53</v>
      </c>
      <c r="L5" s="86" t="s">
        <v>54</v>
      </c>
      <c r="M5" s="86" t="s">
        <v>55</v>
      </c>
      <c r="N5" s="86" t="s">
        <v>56</v>
      </c>
      <c r="O5" s="86" t="s">
        <v>57</v>
      </c>
    </row>
    <row r="6" ht="16.5" customHeight="1" spans="1:15">
      <c r="A6" s="60">
        <v>1</v>
      </c>
      <c r="B6" s="60">
        <v>2</v>
      </c>
      <c r="C6" s="60">
        <v>3</v>
      </c>
      <c r="D6" s="60">
        <v>4</v>
      </c>
      <c r="E6" s="60">
        <v>5</v>
      </c>
      <c r="F6" s="60">
        <v>6</v>
      </c>
      <c r="G6" s="60">
        <v>7</v>
      </c>
      <c r="H6" s="45">
        <v>8</v>
      </c>
      <c r="I6" s="45">
        <v>9</v>
      </c>
      <c r="J6" s="45">
        <v>10</v>
      </c>
      <c r="K6" s="45">
        <v>11</v>
      </c>
      <c r="L6" s="45">
        <v>12</v>
      </c>
      <c r="M6" s="45">
        <v>13</v>
      </c>
      <c r="N6" s="45">
        <v>14</v>
      </c>
      <c r="O6" s="60">
        <v>15</v>
      </c>
    </row>
    <row r="7" ht="20.25" customHeight="1" spans="1:15">
      <c r="A7" s="29" t="s">
        <v>60</v>
      </c>
      <c r="B7" s="29" t="s">
        <v>61</v>
      </c>
      <c r="C7" s="118">
        <v>434790</v>
      </c>
      <c r="D7" s="118">
        <v>434790</v>
      </c>
      <c r="E7" s="118"/>
      <c r="F7" s="118">
        <v>434790</v>
      </c>
      <c r="G7" s="87"/>
      <c r="H7" s="118"/>
      <c r="I7" s="118"/>
      <c r="J7" s="118"/>
      <c r="K7" s="118"/>
      <c r="L7" s="118"/>
      <c r="M7" s="87"/>
      <c r="N7" s="118"/>
      <c r="O7" s="118"/>
    </row>
    <row r="8" ht="20.25" customHeight="1" spans="1:15">
      <c r="A8" s="61" t="s">
        <v>62</v>
      </c>
      <c r="B8" s="61" t="s">
        <v>63</v>
      </c>
      <c r="C8" s="118">
        <v>434790</v>
      </c>
      <c r="D8" s="118">
        <v>434790</v>
      </c>
      <c r="E8" s="118"/>
      <c r="F8" s="118">
        <v>434790</v>
      </c>
      <c r="G8" s="87"/>
      <c r="H8" s="118"/>
      <c r="I8" s="118"/>
      <c r="J8" s="118"/>
      <c r="K8" s="118"/>
      <c r="L8" s="118"/>
      <c r="M8" s="87"/>
      <c r="N8" s="118"/>
      <c r="O8" s="118"/>
    </row>
    <row r="9" ht="20.25" customHeight="1" spans="1:15">
      <c r="A9" s="126" t="s">
        <v>64</v>
      </c>
      <c r="B9" s="126" t="s">
        <v>65</v>
      </c>
      <c r="C9" s="118">
        <v>434790</v>
      </c>
      <c r="D9" s="118">
        <v>434790</v>
      </c>
      <c r="E9" s="118"/>
      <c r="F9" s="118">
        <v>434790</v>
      </c>
      <c r="G9" s="87"/>
      <c r="H9" s="118"/>
      <c r="I9" s="118"/>
      <c r="J9" s="118"/>
      <c r="K9" s="118"/>
      <c r="L9" s="118"/>
      <c r="M9" s="87"/>
      <c r="N9" s="118"/>
      <c r="O9" s="118"/>
    </row>
    <row r="10" ht="20.25" customHeight="1" spans="1:15">
      <c r="A10" s="29" t="s">
        <v>66</v>
      </c>
      <c r="B10" s="29" t="s">
        <v>67</v>
      </c>
      <c r="C10" s="118">
        <v>296695032.79</v>
      </c>
      <c r="D10" s="118">
        <v>293295032.79</v>
      </c>
      <c r="E10" s="118">
        <v>29709082.78</v>
      </c>
      <c r="F10" s="118">
        <v>263585950.01</v>
      </c>
      <c r="G10" s="87"/>
      <c r="H10" s="118"/>
      <c r="I10" s="118"/>
      <c r="J10" s="118">
        <v>3400000</v>
      </c>
      <c r="K10" s="118"/>
      <c r="L10" s="118"/>
      <c r="M10" s="87">
        <v>3400000</v>
      </c>
      <c r="N10" s="118"/>
      <c r="O10" s="118"/>
    </row>
    <row r="11" ht="20.25" customHeight="1" spans="1:15">
      <c r="A11" s="61" t="s">
        <v>68</v>
      </c>
      <c r="B11" s="61" t="s">
        <v>69</v>
      </c>
      <c r="C11" s="118">
        <v>290668414.79</v>
      </c>
      <c r="D11" s="118">
        <v>287268414.79</v>
      </c>
      <c r="E11" s="118">
        <v>29709082.78</v>
      </c>
      <c r="F11" s="118">
        <v>257559332.01</v>
      </c>
      <c r="G11" s="87"/>
      <c r="H11" s="118"/>
      <c r="I11" s="118"/>
      <c r="J11" s="118">
        <v>3400000</v>
      </c>
      <c r="K11" s="118"/>
      <c r="L11" s="118"/>
      <c r="M11" s="87">
        <v>3400000</v>
      </c>
      <c r="N11" s="118"/>
      <c r="O11" s="118"/>
    </row>
    <row r="12" ht="20.25" customHeight="1" spans="1:15">
      <c r="A12" s="126" t="s">
        <v>70</v>
      </c>
      <c r="B12" s="126" t="s">
        <v>71</v>
      </c>
      <c r="C12" s="118">
        <v>41959082.78</v>
      </c>
      <c r="D12" s="118">
        <v>41959082.78</v>
      </c>
      <c r="E12" s="118">
        <v>29709082.78</v>
      </c>
      <c r="F12" s="118">
        <v>12250000</v>
      </c>
      <c r="G12" s="87"/>
      <c r="H12" s="118"/>
      <c r="I12" s="118"/>
      <c r="J12" s="118"/>
      <c r="K12" s="118"/>
      <c r="L12" s="118"/>
      <c r="M12" s="87"/>
      <c r="N12" s="118"/>
      <c r="O12" s="118"/>
    </row>
    <row r="13" ht="20.25" customHeight="1" spans="1:15">
      <c r="A13" s="126" t="s">
        <v>72</v>
      </c>
      <c r="B13" s="126" t="s">
        <v>73</v>
      </c>
      <c r="C13" s="118">
        <v>3135861.5</v>
      </c>
      <c r="D13" s="118">
        <v>3135861.5</v>
      </c>
      <c r="E13" s="118"/>
      <c r="F13" s="118">
        <v>3135861.5</v>
      </c>
      <c r="G13" s="87"/>
      <c r="H13" s="118"/>
      <c r="I13" s="118"/>
      <c r="J13" s="118"/>
      <c r="K13" s="118"/>
      <c r="L13" s="118"/>
      <c r="M13" s="87"/>
      <c r="N13" s="118"/>
      <c r="O13" s="118"/>
    </row>
    <row r="14" ht="20.25" customHeight="1" spans="1:15">
      <c r="A14" s="126" t="s">
        <v>74</v>
      </c>
      <c r="B14" s="126" t="s">
        <v>75</v>
      </c>
      <c r="C14" s="118">
        <v>19999872</v>
      </c>
      <c r="D14" s="118">
        <v>19999872</v>
      </c>
      <c r="E14" s="118"/>
      <c r="F14" s="118">
        <v>19999872</v>
      </c>
      <c r="G14" s="87"/>
      <c r="H14" s="118"/>
      <c r="I14" s="118"/>
      <c r="J14" s="118"/>
      <c r="K14" s="118"/>
      <c r="L14" s="118"/>
      <c r="M14" s="87"/>
      <c r="N14" s="118"/>
      <c r="O14" s="118"/>
    </row>
    <row r="15" ht="20.25" customHeight="1" spans="1:15">
      <c r="A15" s="126" t="s">
        <v>76</v>
      </c>
      <c r="B15" s="126" t="s">
        <v>77</v>
      </c>
      <c r="C15" s="118">
        <v>4500000</v>
      </c>
      <c r="D15" s="118">
        <v>2000000</v>
      </c>
      <c r="E15" s="118"/>
      <c r="F15" s="118">
        <v>2000000</v>
      </c>
      <c r="G15" s="87"/>
      <c r="H15" s="118"/>
      <c r="I15" s="118"/>
      <c r="J15" s="118">
        <v>2500000</v>
      </c>
      <c r="K15" s="118"/>
      <c r="L15" s="118"/>
      <c r="M15" s="87">
        <v>2500000</v>
      </c>
      <c r="N15" s="118"/>
      <c r="O15" s="118"/>
    </row>
    <row r="16" ht="20.25" customHeight="1" spans="1:15">
      <c r="A16" s="126" t="s">
        <v>78</v>
      </c>
      <c r="B16" s="126" t="s">
        <v>79</v>
      </c>
      <c r="C16" s="118">
        <v>30916000</v>
      </c>
      <c r="D16" s="118">
        <v>30516000</v>
      </c>
      <c r="E16" s="118"/>
      <c r="F16" s="118">
        <v>30516000</v>
      </c>
      <c r="G16" s="87"/>
      <c r="H16" s="118"/>
      <c r="I16" s="118"/>
      <c r="J16" s="118">
        <v>400000</v>
      </c>
      <c r="K16" s="118"/>
      <c r="L16" s="118"/>
      <c r="M16" s="87">
        <v>400000</v>
      </c>
      <c r="N16" s="118"/>
      <c r="O16" s="118"/>
    </row>
    <row r="17" ht="20.25" customHeight="1" spans="1:15">
      <c r="A17" s="126" t="s">
        <v>80</v>
      </c>
      <c r="B17" s="126" t="s">
        <v>81</v>
      </c>
      <c r="C17" s="118">
        <v>30542421.44</v>
      </c>
      <c r="D17" s="118">
        <v>30542421.44</v>
      </c>
      <c r="E17" s="118"/>
      <c r="F17" s="118">
        <v>30542421.44</v>
      </c>
      <c r="G17" s="87"/>
      <c r="H17" s="118"/>
      <c r="I17" s="118"/>
      <c r="J17" s="118"/>
      <c r="K17" s="118"/>
      <c r="L17" s="118"/>
      <c r="M17" s="87"/>
      <c r="N17" s="118"/>
      <c r="O17" s="118"/>
    </row>
    <row r="18" ht="20.25" customHeight="1" spans="1:15">
      <c r="A18" s="126" t="s">
        <v>82</v>
      </c>
      <c r="B18" s="126" t="s">
        <v>83</v>
      </c>
      <c r="C18" s="118">
        <v>91155221.32</v>
      </c>
      <c r="D18" s="118">
        <v>91155221.32</v>
      </c>
      <c r="E18" s="118"/>
      <c r="F18" s="118">
        <v>91155221.32</v>
      </c>
      <c r="G18" s="87"/>
      <c r="H18" s="118"/>
      <c r="I18" s="118"/>
      <c r="J18" s="118"/>
      <c r="K18" s="118"/>
      <c r="L18" s="118"/>
      <c r="M18" s="87"/>
      <c r="N18" s="118"/>
      <c r="O18" s="118"/>
    </row>
    <row r="19" ht="20.25" customHeight="1" spans="1:15">
      <c r="A19" s="126" t="s">
        <v>84</v>
      </c>
      <c r="B19" s="126" t="s">
        <v>85</v>
      </c>
      <c r="C19" s="118">
        <v>57678357.75</v>
      </c>
      <c r="D19" s="118">
        <v>57678357.75</v>
      </c>
      <c r="E19" s="118"/>
      <c r="F19" s="118">
        <v>57678357.75</v>
      </c>
      <c r="G19" s="87"/>
      <c r="H19" s="118"/>
      <c r="I19" s="118"/>
      <c r="J19" s="118"/>
      <c r="K19" s="118"/>
      <c r="L19" s="118"/>
      <c r="M19" s="87"/>
      <c r="N19" s="118"/>
      <c r="O19" s="118"/>
    </row>
    <row r="20" ht="20.25" customHeight="1" spans="1:15">
      <c r="A20" s="126" t="s">
        <v>86</v>
      </c>
      <c r="B20" s="126" t="s">
        <v>87</v>
      </c>
      <c r="C20" s="118">
        <v>10781598</v>
      </c>
      <c r="D20" s="118">
        <v>10281598</v>
      </c>
      <c r="E20" s="118"/>
      <c r="F20" s="118">
        <v>10281598</v>
      </c>
      <c r="G20" s="87"/>
      <c r="H20" s="118"/>
      <c r="I20" s="118"/>
      <c r="J20" s="118">
        <v>500000</v>
      </c>
      <c r="K20" s="118"/>
      <c r="L20" s="118"/>
      <c r="M20" s="87">
        <v>500000</v>
      </c>
      <c r="N20" s="118"/>
      <c r="O20" s="118"/>
    </row>
    <row r="21" ht="20.25" customHeight="1" spans="1:15">
      <c r="A21" s="61" t="s">
        <v>88</v>
      </c>
      <c r="B21" s="61" t="s">
        <v>89</v>
      </c>
      <c r="C21" s="118">
        <v>6026618</v>
      </c>
      <c r="D21" s="118">
        <v>6026618</v>
      </c>
      <c r="E21" s="118"/>
      <c r="F21" s="118">
        <v>6026618</v>
      </c>
      <c r="G21" s="87"/>
      <c r="H21" s="118"/>
      <c r="I21" s="118"/>
      <c r="J21" s="118"/>
      <c r="K21" s="118"/>
      <c r="L21" s="118"/>
      <c r="M21" s="87"/>
      <c r="N21" s="118"/>
      <c r="O21" s="118"/>
    </row>
    <row r="22" ht="20.25" customHeight="1" spans="1:15">
      <c r="A22" s="126" t="s">
        <v>90</v>
      </c>
      <c r="B22" s="126" t="s">
        <v>91</v>
      </c>
      <c r="C22" s="118">
        <v>6026618</v>
      </c>
      <c r="D22" s="118">
        <v>6026618</v>
      </c>
      <c r="E22" s="118"/>
      <c r="F22" s="118">
        <v>6026618</v>
      </c>
      <c r="G22" s="87"/>
      <c r="H22" s="118"/>
      <c r="I22" s="118"/>
      <c r="J22" s="118"/>
      <c r="K22" s="118"/>
      <c r="L22" s="118"/>
      <c r="M22" s="87"/>
      <c r="N22" s="118"/>
      <c r="O22" s="118"/>
    </row>
    <row r="23" ht="20.25" customHeight="1" spans="1:15">
      <c r="A23" s="29" t="s">
        <v>92</v>
      </c>
      <c r="B23" s="29" t="s">
        <v>93</v>
      </c>
      <c r="C23" s="118">
        <v>3360716.48</v>
      </c>
      <c r="D23" s="118">
        <v>3360716.48</v>
      </c>
      <c r="E23" s="118">
        <v>3360716.48</v>
      </c>
      <c r="F23" s="118"/>
      <c r="G23" s="87"/>
      <c r="H23" s="118"/>
      <c r="I23" s="118"/>
      <c r="J23" s="118"/>
      <c r="K23" s="118"/>
      <c r="L23" s="118"/>
      <c r="M23" s="87"/>
      <c r="N23" s="118"/>
      <c r="O23" s="118"/>
    </row>
    <row r="24" ht="20.25" customHeight="1" spans="1:15">
      <c r="A24" s="61" t="s">
        <v>94</v>
      </c>
      <c r="B24" s="61" t="s">
        <v>95</v>
      </c>
      <c r="C24" s="118">
        <v>3327262.16</v>
      </c>
      <c r="D24" s="118">
        <v>3327262.16</v>
      </c>
      <c r="E24" s="118">
        <v>3327262.16</v>
      </c>
      <c r="F24" s="118"/>
      <c r="G24" s="87"/>
      <c r="H24" s="118"/>
      <c r="I24" s="118"/>
      <c r="J24" s="118"/>
      <c r="K24" s="118"/>
      <c r="L24" s="118"/>
      <c r="M24" s="87"/>
      <c r="N24" s="118"/>
      <c r="O24" s="118"/>
    </row>
    <row r="25" ht="20.25" customHeight="1" spans="1:15">
      <c r="A25" s="126" t="s">
        <v>96</v>
      </c>
      <c r="B25" s="126" t="s">
        <v>97</v>
      </c>
      <c r="C25" s="118">
        <v>123210</v>
      </c>
      <c r="D25" s="118">
        <v>123210</v>
      </c>
      <c r="E25" s="118">
        <v>123210</v>
      </c>
      <c r="F25" s="118"/>
      <c r="G25" s="87"/>
      <c r="H25" s="118"/>
      <c r="I25" s="118"/>
      <c r="J25" s="118"/>
      <c r="K25" s="118"/>
      <c r="L25" s="118"/>
      <c r="M25" s="87"/>
      <c r="N25" s="118"/>
      <c r="O25" s="118"/>
    </row>
    <row r="26" ht="20.25" customHeight="1" spans="1:15">
      <c r="A26" s="126" t="s">
        <v>98</v>
      </c>
      <c r="B26" s="126" t="s">
        <v>99</v>
      </c>
      <c r="C26" s="118">
        <v>3204052.16</v>
      </c>
      <c r="D26" s="118">
        <v>3204052.16</v>
      </c>
      <c r="E26" s="118">
        <v>3204052.16</v>
      </c>
      <c r="F26" s="118"/>
      <c r="G26" s="87"/>
      <c r="H26" s="118"/>
      <c r="I26" s="118"/>
      <c r="J26" s="118"/>
      <c r="K26" s="118"/>
      <c r="L26" s="118"/>
      <c r="M26" s="87"/>
      <c r="N26" s="118"/>
      <c r="O26" s="118"/>
    </row>
    <row r="27" ht="20.25" customHeight="1" spans="1:15">
      <c r="A27" s="61" t="s">
        <v>100</v>
      </c>
      <c r="B27" s="61" t="s">
        <v>101</v>
      </c>
      <c r="C27" s="118">
        <v>33454.32</v>
      </c>
      <c r="D27" s="118">
        <v>33454.32</v>
      </c>
      <c r="E27" s="118">
        <v>33454.32</v>
      </c>
      <c r="F27" s="118"/>
      <c r="G27" s="87"/>
      <c r="H27" s="118"/>
      <c r="I27" s="118"/>
      <c r="J27" s="118"/>
      <c r="K27" s="118"/>
      <c r="L27" s="118"/>
      <c r="M27" s="87"/>
      <c r="N27" s="118"/>
      <c r="O27" s="118"/>
    </row>
    <row r="28" ht="20.25" customHeight="1" spans="1:15">
      <c r="A28" s="126" t="s">
        <v>102</v>
      </c>
      <c r="B28" s="126" t="s">
        <v>101</v>
      </c>
      <c r="C28" s="118">
        <v>33454.32</v>
      </c>
      <c r="D28" s="118">
        <v>33454.32</v>
      </c>
      <c r="E28" s="118">
        <v>33454.32</v>
      </c>
      <c r="F28" s="118"/>
      <c r="G28" s="87"/>
      <c r="H28" s="118"/>
      <c r="I28" s="118"/>
      <c r="J28" s="118"/>
      <c r="K28" s="118"/>
      <c r="L28" s="118"/>
      <c r="M28" s="87"/>
      <c r="N28" s="118"/>
      <c r="O28" s="118"/>
    </row>
    <row r="29" ht="20.25" customHeight="1" spans="1:15">
      <c r="A29" s="29" t="s">
        <v>103</v>
      </c>
      <c r="B29" s="29" t="s">
        <v>104</v>
      </c>
      <c r="C29" s="118">
        <v>5380416.38</v>
      </c>
      <c r="D29" s="118">
        <v>5380416.38</v>
      </c>
      <c r="E29" s="118">
        <v>5380416.38</v>
      </c>
      <c r="F29" s="118"/>
      <c r="G29" s="87"/>
      <c r="H29" s="118"/>
      <c r="I29" s="118"/>
      <c r="J29" s="118"/>
      <c r="K29" s="118"/>
      <c r="L29" s="118"/>
      <c r="M29" s="87"/>
      <c r="N29" s="118"/>
      <c r="O29" s="118"/>
    </row>
    <row r="30" ht="20.25" customHeight="1" spans="1:15">
      <c r="A30" s="61" t="s">
        <v>105</v>
      </c>
      <c r="B30" s="61" t="s">
        <v>106</v>
      </c>
      <c r="C30" s="118">
        <v>5380416.38</v>
      </c>
      <c r="D30" s="118">
        <v>5380416.38</v>
      </c>
      <c r="E30" s="118">
        <v>5380416.38</v>
      </c>
      <c r="F30" s="118"/>
      <c r="G30" s="87"/>
      <c r="H30" s="118"/>
      <c r="I30" s="118"/>
      <c r="J30" s="118"/>
      <c r="K30" s="118"/>
      <c r="L30" s="118"/>
      <c r="M30" s="87"/>
      <c r="N30" s="118"/>
      <c r="O30" s="118"/>
    </row>
    <row r="31" ht="20.25" customHeight="1" spans="1:15">
      <c r="A31" s="126" t="s">
        <v>107</v>
      </c>
      <c r="B31" s="126" t="s">
        <v>108</v>
      </c>
      <c r="C31" s="118">
        <v>3511535.21</v>
      </c>
      <c r="D31" s="118">
        <v>3511535.21</v>
      </c>
      <c r="E31" s="118">
        <v>3511535.21</v>
      </c>
      <c r="F31" s="118"/>
      <c r="G31" s="87"/>
      <c r="H31" s="118"/>
      <c r="I31" s="118"/>
      <c r="J31" s="118"/>
      <c r="K31" s="118"/>
      <c r="L31" s="118"/>
      <c r="M31" s="87"/>
      <c r="N31" s="118"/>
      <c r="O31" s="118"/>
    </row>
    <row r="32" ht="20.25" customHeight="1" spans="1:15">
      <c r="A32" s="126" t="s">
        <v>109</v>
      </c>
      <c r="B32" s="126" t="s">
        <v>110</v>
      </c>
      <c r="C32" s="118">
        <v>1748371.17</v>
      </c>
      <c r="D32" s="118">
        <v>1748371.17</v>
      </c>
      <c r="E32" s="118">
        <v>1748371.17</v>
      </c>
      <c r="F32" s="118"/>
      <c r="G32" s="87"/>
      <c r="H32" s="118"/>
      <c r="I32" s="118"/>
      <c r="J32" s="118"/>
      <c r="K32" s="118"/>
      <c r="L32" s="118"/>
      <c r="M32" s="87"/>
      <c r="N32" s="118"/>
      <c r="O32" s="118"/>
    </row>
    <row r="33" ht="20.25" customHeight="1" spans="1:15">
      <c r="A33" s="126" t="s">
        <v>111</v>
      </c>
      <c r="B33" s="126" t="s">
        <v>112</v>
      </c>
      <c r="C33" s="118">
        <v>120510</v>
      </c>
      <c r="D33" s="118">
        <v>120510</v>
      </c>
      <c r="E33" s="118">
        <v>120510</v>
      </c>
      <c r="F33" s="118"/>
      <c r="G33" s="87"/>
      <c r="H33" s="118"/>
      <c r="I33" s="118"/>
      <c r="J33" s="118"/>
      <c r="K33" s="118"/>
      <c r="L33" s="118"/>
      <c r="M33" s="87"/>
      <c r="N33" s="118"/>
      <c r="O33" s="118"/>
    </row>
    <row r="34" ht="20.25" customHeight="1" spans="1:15">
      <c r="A34" s="29" t="s">
        <v>113</v>
      </c>
      <c r="B34" s="29" t="s">
        <v>114</v>
      </c>
      <c r="C34" s="118">
        <v>2468860.72</v>
      </c>
      <c r="D34" s="118">
        <v>2468860.72</v>
      </c>
      <c r="E34" s="118">
        <v>2468860.72</v>
      </c>
      <c r="F34" s="118"/>
      <c r="G34" s="87"/>
      <c r="H34" s="118"/>
      <c r="I34" s="118"/>
      <c r="J34" s="118"/>
      <c r="K34" s="118"/>
      <c r="L34" s="118"/>
      <c r="M34" s="87"/>
      <c r="N34" s="118"/>
      <c r="O34" s="118"/>
    </row>
    <row r="35" ht="20.25" customHeight="1" spans="1:15">
      <c r="A35" s="61" t="s">
        <v>115</v>
      </c>
      <c r="B35" s="61" t="s">
        <v>116</v>
      </c>
      <c r="C35" s="118">
        <v>2468860.72</v>
      </c>
      <c r="D35" s="118">
        <v>2468860.72</v>
      </c>
      <c r="E35" s="118">
        <v>2468860.72</v>
      </c>
      <c r="F35" s="118"/>
      <c r="G35" s="87"/>
      <c r="H35" s="118"/>
      <c r="I35" s="118"/>
      <c r="J35" s="118"/>
      <c r="K35" s="118"/>
      <c r="L35" s="118"/>
      <c r="M35" s="87"/>
      <c r="N35" s="118"/>
      <c r="O35" s="118"/>
    </row>
    <row r="36" ht="20.25" customHeight="1" spans="1:15">
      <c r="A36" s="126" t="s">
        <v>117</v>
      </c>
      <c r="B36" s="126" t="s">
        <v>118</v>
      </c>
      <c r="C36" s="118">
        <v>2468860.72</v>
      </c>
      <c r="D36" s="118">
        <v>2468860.72</v>
      </c>
      <c r="E36" s="118">
        <v>2468860.72</v>
      </c>
      <c r="F36" s="118"/>
      <c r="G36" s="87"/>
      <c r="H36" s="118"/>
      <c r="I36" s="118"/>
      <c r="J36" s="118"/>
      <c r="K36" s="118"/>
      <c r="L36" s="118"/>
      <c r="M36" s="87"/>
      <c r="N36" s="118"/>
      <c r="O36" s="118"/>
    </row>
    <row r="37" ht="17.25" customHeight="1" spans="1:15">
      <c r="A37" s="102" t="s">
        <v>119</v>
      </c>
      <c r="B37" s="103" t="s">
        <v>119</v>
      </c>
      <c r="C37" s="118">
        <v>308339816.37</v>
      </c>
      <c r="D37" s="118">
        <v>304939816.37</v>
      </c>
      <c r="E37" s="118">
        <v>40919076.36</v>
      </c>
      <c r="F37" s="118">
        <v>264020740.01</v>
      </c>
      <c r="G37" s="87"/>
      <c r="H37" s="118"/>
      <c r="I37" s="118"/>
      <c r="J37" s="118">
        <v>3400000</v>
      </c>
      <c r="K37" s="118"/>
      <c r="L37" s="118"/>
      <c r="M37" s="87">
        <v>3400000</v>
      </c>
      <c r="N37" s="118"/>
      <c r="O37" s="118"/>
    </row>
  </sheetData>
  <mergeCells count="11">
    <mergeCell ref="A2:O2"/>
    <mergeCell ref="A3:L3"/>
    <mergeCell ref="D4:F4"/>
    <mergeCell ref="J4:O4"/>
    <mergeCell ref="A37:B37"/>
    <mergeCell ref="A4:A5"/>
    <mergeCell ref="B4:B5"/>
    <mergeCell ref="C4:C5"/>
    <mergeCell ref="G4:G5"/>
    <mergeCell ref="H4:H5"/>
    <mergeCell ref="I4:I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D16"/>
  <sheetViews>
    <sheetView showZeros="0" workbookViewId="0">
      <selection activeCell="A1" sqref="A1"/>
    </sheetView>
  </sheetViews>
  <sheetFormatPr defaultColWidth="9.13888888888889" defaultRowHeight="14.25" customHeight="1" outlineLevelCol="3"/>
  <cols>
    <col min="1" max="1" width="49.2777777777778" customWidth="1"/>
    <col min="2" max="2" width="43.3148148148148" customWidth="1"/>
    <col min="3" max="3" width="48.5740740740741" customWidth="1"/>
    <col min="4" max="4" width="41.1759259259259" customWidth="1"/>
  </cols>
  <sheetData>
    <row r="1" customHeight="1" spans="4:4">
      <c r="D1" s="97" t="s">
        <v>120</v>
      </c>
    </row>
    <row r="2" ht="31.5" customHeight="1" spans="1:4">
      <c r="A2" s="42" t="s">
        <v>121</v>
      </c>
      <c r="B2" s="129"/>
      <c r="C2" s="129"/>
      <c r="D2" s="129"/>
    </row>
    <row r="3" ht="17.25" customHeight="1" spans="1:4">
      <c r="A3" s="4" t="str">
        <f>"单位名称："&amp;"云南省文化和旅游厅"</f>
        <v>单位名称：云南省文化和旅游厅</v>
      </c>
      <c r="B3" s="130"/>
      <c r="C3" s="130"/>
      <c r="D3" s="98" t="s">
        <v>2</v>
      </c>
    </row>
    <row r="4" ht="24.65" customHeight="1" spans="1:4">
      <c r="A4" s="10" t="s">
        <v>3</v>
      </c>
      <c r="B4" s="12"/>
      <c r="C4" s="10" t="s">
        <v>4</v>
      </c>
      <c r="D4" s="12"/>
    </row>
    <row r="5" ht="15.65" customHeight="1" spans="1:4">
      <c r="A5" s="15" t="s">
        <v>5</v>
      </c>
      <c r="B5" s="131" t="s">
        <v>6</v>
      </c>
      <c r="C5" s="15" t="s">
        <v>122</v>
      </c>
      <c r="D5" s="131" t="s">
        <v>6</v>
      </c>
    </row>
    <row r="6" ht="14.15" customHeight="1" spans="1:4">
      <c r="A6" s="18"/>
      <c r="B6" s="17"/>
      <c r="C6" s="18"/>
      <c r="D6" s="17"/>
    </row>
    <row r="7" ht="29.15" customHeight="1" spans="1:4">
      <c r="A7" s="132" t="s">
        <v>123</v>
      </c>
      <c r="B7" s="133">
        <v>228512176.36</v>
      </c>
      <c r="C7" s="134" t="s">
        <v>124</v>
      </c>
      <c r="D7" s="133">
        <v>304939816.37</v>
      </c>
    </row>
    <row r="8" ht="29.15" customHeight="1" spans="1:4">
      <c r="A8" s="135" t="s">
        <v>125</v>
      </c>
      <c r="B8" s="87">
        <v>228512176.36</v>
      </c>
      <c r="C8" s="23" t="str">
        <f>"（一）"&amp;"一般公共服务支出"</f>
        <v>（一）一般公共服务支出</v>
      </c>
      <c r="D8" s="87">
        <v>434790</v>
      </c>
    </row>
    <row r="9" ht="29.15" customHeight="1" spans="1:4">
      <c r="A9" s="135" t="s">
        <v>126</v>
      </c>
      <c r="B9" s="87"/>
      <c r="C9" s="23" t="str">
        <f>"（二）"&amp;"文化旅游体育与传媒支出"</f>
        <v>（二）文化旅游体育与传媒支出</v>
      </c>
      <c r="D9" s="87">
        <v>293295032.79</v>
      </c>
    </row>
    <row r="10" ht="29.15" customHeight="1" spans="1:4">
      <c r="A10" s="135" t="s">
        <v>127</v>
      </c>
      <c r="B10" s="87"/>
      <c r="C10" s="23" t="str">
        <f>"（三）"&amp;"社会保障和就业支出"</f>
        <v>（三）社会保障和就业支出</v>
      </c>
      <c r="D10" s="87">
        <v>3360716.48</v>
      </c>
    </row>
    <row r="11" ht="29.15" customHeight="1" spans="1:4">
      <c r="A11" s="136" t="s">
        <v>128</v>
      </c>
      <c r="B11" s="137">
        <v>76427640.01</v>
      </c>
      <c r="C11" s="23" t="str">
        <f>"（四）"&amp;"卫生健康支出"</f>
        <v>（四）卫生健康支出</v>
      </c>
      <c r="D11" s="87">
        <v>5380416.38</v>
      </c>
    </row>
    <row r="12" ht="29.15" customHeight="1" spans="1:4">
      <c r="A12" s="135" t="s">
        <v>125</v>
      </c>
      <c r="B12" s="118">
        <v>76427640.01</v>
      </c>
      <c r="C12" s="23" t="str">
        <f>"（五）"&amp;"住房保障支出"</f>
        <v>（五）住房保障支出</v>
      </c>
      <c r="D12" s="87">
        <v>2468860.72</v>
      </c>
    </row>
    <row r="13" ht="29.15" customHeight="1" spans="1:4">
      <c r="A13" s="138" t="s">
        <v>126</v>
      </c>
      <c r="B13" s="118"/>
      <c r="C13" s="23" t="str">
        <f>"（六）"&amp;"转移性支出"</f>
        <v>（六）转移性支出</v>
      </c>
      <c r="D13" s="87"/>
    </row>
    <row r="14" ht="29.15" customHeight="1" spans="1:4">
      <c r="A14" s="138" t="s">
        <v>127</v>
      </c>
      <c r="B14" s="137"/>
      <c r="C14" s="139"/>
      <c r="D14" s="137"/>
    </row>
    <row r="15" ht="29.15" customHeight="1" spans="1:4">
      <c r="A15" s="140"/>
      <c r="B15" s="137"/>
      <c r="C15" s="141" t="s">
        <v>129</v>
      </c>
      <c r="D15" s="137"/>
    </row>
    <row r="16" ht="29.15" customHeight="1" spans="1:4">
      <c r="A16" s="140" t="s">
        <v>130</v>
      </c>
      <c r="B16" s="137">
        <v>304939816.37</v>
      </c>
      <c r="C16" s="139" t="s">
        <v>26</v>
      </c>
      <c r="D16" s="137">
        <v>304939816.37</v>
      </c>
    </row>
  </sheetData>
  <mergeCells count="8">
    <mergeCell ref="A2:D2"/>
    <mergeCell ref="A3:B3"/>
    <mergeCell ref="A4:B4"/>
    <mergeCell ref="C4:D4"/>
    <mergeCell ref="A5:A6"/>
    <mergeCell ref="B5:B6"/>
    <mergeCell ref="C5:C6"/>
    <mergeCell ref="D5:D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G31"/>
  <sheetViews>
    <sheetView showZeros="0" workbookViewId="0">
      <selection activeCell="A1" sqref="A1"/>
    </sheetView>
  </sheetViews>
  <sheetFormatPr defaultColWidth="9.13888888888889" defaultRowHeight="14.25" customHeight="1" outlineLevelCol="6"/>
  <cols>
    <col min="1" max="1" width="20.1388888888889" customWidth="1"/>
    <col min="2" max="2" width="37.3148148148148" customWidth="1"/>
    <col min="3" max="3" width="24.2777777777778" customWidth="1"/>
    <col min="4" max="6" width="25.0277777777778" customWidth="1"/>
    <col min="7" max="7" width="24.2777777777778" customWidth="1"/>
  </cols>
  <sheetData>
    <row r="1" ht="12" customHeight="1" spans="4:7">
      <c r="D1" s="110"/>
      <c r="F1" s="53"/>
      <c r="G1" s="53" t="s">
        <v>131</v>
      </c>
    </row>
    <row r="2" ht="39" customHeight="1" spans="1:7">
      <c r="A2" s="3" t="s">
        <v>132</v>
      </c>
      <c r="B2" s="3"/>
      <c r="C2" s="3"/>
      <c r="D2" s="3"/>
      <c r="E2" s="3"/>
      <c r="F2" s="3"/>
      <c r="G2" s="3"/>
    </row>
    <row r="3" ht="18" customHeight="1" spans="1:7">
      <c r="A3" s="4" t="str">
        <f>"单位名称："&amp;"云南省文化和旅游厅"</f>
        <v>单位名称：云南省文化和旅游厅</v>
      </c>
      <c r="F3" s="101"/>
      <c r="G3" s="101" t="s">
        <v>2</v>
      </c>
    </row>
    <row r="4" ht="20.25" customHeight="1" spans="1:7">
      <c r="A4" s="120" t="s">
        <v>133</v>
      </c>
      <c r="B4" s="121"/>
      <c r="C4" s="122" t="s">
        <v>31</v>
      </c>
      <c r="D4" s="11" t="s">
        <v>58</v>
      </c>
      <c r="E4" s="11"/>
      <c r="F4" s="12"/>
      <c r="G4" s="122" t="s">
        <v>59</v>
      </c>
    </row>
    <row r="5" ht="20.25" customHeight="1" spans="1:7">
      <c r="A5" s="123" t="s">
        <v>49</v>
      </c>
      <c r="B5" s="124" t="s">
        <v>50</v>
      </c>
      <c r="C5" s="92"/>
      <c r="D5" s="92" t="s">
        <v>33</v>
      </c>
      <c r="E5" s="92" t="s">
        <v>134</v>
      </c>
      <c r="F5" s="92" t="s">
        <v>135</v>
      </c>
      <c r="G5" s="92"/>
    </row>
    <row r="6" ht="13.5" customHeight="1" spans="1:7">
      <c r="A6" s="125" t="s">
        <v>136</v>
      </c>
      <c r="B6" s="125" t="s">
        <v>137</v>
      </c>
      <c r="C6" s="125" t="s">
        <v>138</v>
      </c>
      <c r="D6" s="60"/>
      <c r="E6" s="125" t="s">
        <v>139</v>
      </c>
      <c r="F6" s="125" t="s">
        <v>140</v>
      </c>
      <c r="G6" s="125" t="s">
        <v>141</v>
      </c>
    </row>
    <row r="7" ht="18" customHeight="1" spans="1:7">
      <c r="A7" s="29" t="s">
        <v>66</v>
      </c>
      <c r="B7" s="29" t="s">
        <v>67</v>
      </c>
      <c r="C7" s="22">
        <v>217302182.78</v>
      </c>
      <c r="D7" s="22">
        <v>29709082.78</v>
      </c>
      <c r="E7" s="22">
        <v>23087695.5</v>
      </c>
      <c r="F7" s="22">
        <v>6621387.28</v>
      </c>
      <c r="G7" s="22">
        <v>187593100</v>
      </c>
    </row>
    <row r="8" ht="18" customHeight="1" spans="1:7">
      <c r="A8" s="29" t="s">
        <v>68</v>
      </c>
      <c r="B8" s="61" t="s">
        <v>69</v>
      </c>
      <c r="C8" s="22">
        <v>212502182.78</v>
      </c>
      <c r="D8" s="22">
        <v>29709082.78</v>
      </c>
      <c r="E8" s="22">
        <v>23087695.5</v>
      </c>
      <c r="F8" s="22">
        <v>6621387.28</v>
      </c>
      <c r="G8" s="22">
        <v>182793100</v>
      </c>
    </row>
    <row r="9" ht="18" customHeight="1" spans="1:7">
      <c r="A9" s="29" t="s">
        <v>70</v>
      </c>
      <c r="B9" s="126" t="s">
        <v>71</v>
      </c>
      <c r="C9" s="22">
        <v>41959082.78</v>
      </c>
      <c r="D9" s="22">
        <v>29709082.78</v>
      </c>
      <c r="E9" s="22">
        <v>23087695.5</v>
      </c>
      <c r="F9" s="22">
        <v>6621387.28</v>
      </c>
      <c r="G9" s="22">
        <v>12250000</v>
      </c>
    </row>
    <row r="10" ht="18" customHeight="1" spans="1:7">
      <c r="A10" s="29" t="s">
        <v>74</v>
      </c>
      <c r="B10" s="126" t="s">
        <v>75</v>
      </c>
      <c r="C10" s="22">
        <v>19250000</v>
      </c>
      <c r="D10" s="22"/>
      <c r="E10" s="22"/>
      <c r="F10" s="22"/>
      <c r="G10" s="22">
        <v>19250000</v>
      </c>
    </row>
    <row r="11" ht="18" customHeight="1" spans="1:7">
      <c r="A11" s="29" t="s">
        <v>78</v>
      </c>
      <c r="B11" s="126" t="s">
        <v>79</v>
      </c>
      <c r="C11" s="22">
        <v>30300000</v>
      </c>
      <c r="D11" s="22"/>
      <c r="E11" s="22"/>
      <c r="F11" s="22"/>
      <c r="G11" s="22">
        <v>30300000</v>
      </c>
    </row>
    <row r="12" ht="18" customHeight="1" spans="1:7">
      <c r="A12" s="29" t="s">
        <v>80</v>
      </c>
      <c r="B12" s="126" t="s">
        <v>81</v>
      </c>
      <c r="C12" s="22">
        <v>12096900</v>
      </c>
      <c r="D12" s="22"/>
      <c r="E12" s="22"/>
      <c r="F12" s="22"/>
      <c r="G12" s="22">
        <v>12096900</v>
      </c>
    </row>
    <row r="13" ht="18" customHeight="1" spans="1:7">
      <c r="A13" s="29" t="s">
        <v>82</v>
      </c>
      <c r="B13" s="126" t="s">
        <v>83</v>
      </c>
      <c r="C13" s="22">
        <v>63645400</v>
      </c>
      <c r="D13" s="22"/>
      <c r="E13" s="22"/>
      <c r="F13" s="22"/>
      <c r="G13" s="22">
        <v>63645400</v>
      </c>
    </row>
    <row r="14" ht="18" customHeight="1" spans="1:7">
      <c r="A14" s="29" t="s">
        <v>84</v>
      </c>
      <c r="B14" s="126" t="s">
        <v>85</v>
      </c>
      <c r="C14" s="22">
        <v>45250800</v>
      </c>
      <c r="D14" s="22"/>
      <c r="E14" s="22"/>
      <c r="F14" s="22"/>
      <c r="G14" s="22">
        <v>45250800</v>
      </c>
    </row>
    <row r="15" ht="18" customHeight="1" spans="1:7">
      <c r="A15" s="29" t="s">
        <v>88</v>
      </c>
      <c r="B15" s="61" t="s">
        <v>89</v>
      </c>
      <c r="C15" s="22">
        <v>4800000</v>
      </c>
      <c r="D15" s="22"/>
      <c r="E15" s="22"/>
      <c r="F15" s="22"/>
      <c r="G15" s="22">
        <v>4800000</v>
      </c>
    </row>
    <row r="16" ht="18" customHeight="1" spans="1:7">
      <c r="A16" s="29" t="s">
        <v>90</v>
      </c>
      <c r="B16" s="126" t="s">
        <v>91</v>
      </c>
      <c r="C16" s="22">
        <v>4800000</v>
      </c>
      <c r="D16" s="22"/>
      <c r="E16" s="22"/>
      <c r="F16" s="22"/>
      <c r="G16" s="22">
        <v>4800000</v>
      </c>
    </row>
    <row r="17" ht="18" customHeight="1" spans="1:7">
      <c r="A17" s="29" t="s">
        <v>92</v>
      </c>
      <c r="B17" s="29" t="s">
        <v>93</v>
      </c>
      <c r="C17" s="22">
        <v>3360716.48</v>
      </c>
      <c r="D17" s="22">
        <v>3360716.48</v>
      </c>
      <c r="E17" s="22">
        <v>3237506.48</v>
      </c>
      <c r="F17" s="22">
        <v>123210</v>
      </c>
      <c r="G17" s="22"/>
    </row>
    <row r="18" ht="18" customHeight="1" spans="1:7">
      <c r="A18" s="29" t="s">
        <v>94</v>
      </c>
      <c r="B18" s="61" t="s">
        <v>95</v>
      </c>
      <c r="C18" s="22">
        <v>3327262.16</v>
      </c>
      <c r="D18" s="22">
        <v>3327262.16</v>
      </c>
      <c r="E18" s="22">
        <v>3204052.16</v>
      </c>
      <c r="F18" s="22">
        <v>123210</v>
      </c>
      <c r="G18" s="22"/>
    </row>
    <row r="19" ht="18" customHeight="1" spans="1:7">
      <c r="A19" s="29" t="s">
        <v>96</v>
      </c>
      <c r="B19" s="126" t="s">
        <v>97</v>
      </c>
      <c r="C19" s="22">
        <v>123210</v>
      </c>
      <c r="D19" s="22">
        <v>123210</v>
      </c>
      <c r="E19" s="22"/>
      <c r="F19" s="22">
        <v>123210</v>
      </c>
      <c r="G19" s="22"/>
    </row>
    <row r="20" ht="18" customHeight="1" spans="1:7">
      <c r="A20" s="29" t="s">
        <v>98</v>
      </c>
      <c r="B20" s="126" t="s">
        <v>99</v>
      </c>
      <c r="C20" s="22">
        <v>3204052.16</v>
      </c>
      <c r="D20" s="22">
        <v>3204052.16</v>
      </c>
      <c r="E20" s="22">
        <v>3204052.16</v>
      </c>
      <c r="F20" s="22"/>
      <c r="G20" s="22"/>
    </row>
    <row r="21" ht="18" customHeight="1" spans="1:7">
      <c r="A21" s="29" t="s">
        <v>100</v>
      </c>
      <c r="B21" s="61" t="s">
        <v>101</v>
      </c>
      <c r="C21" s="22">
        <v>33454.32</v>
      </c>
      <c r="D21" s="22">
        <v>33454.32</v>
      </c>
      <c r="E21" s="22">
        <v>33454.32</v>
      </c>
      <c r="F21" s="22"/>
      <c r="G21" s="22"/>
    </row>
    <row r="22" ht="18" customHeight="1" spans="1:7">
      <c r="A22" s="29" t="s">
        <v>102</v>
      </c>
      <c r="B22" s="126" t="s">
        <v>101</v>
      </c>
      <c r="C22" s="22">
        <v>33454.32</v>
      </c>
      <c r="D22" s="22">
        <v>33454.32</v>
      </c>
      <c r="E22" s="22">
        <v>33454.32</v>
      </c>
      <c r="F22" s="22"/>
      <c r="G22" s="22"/>
    </row>
    <row r="23" ht="18" customHeight="1" spans="1:7">
      <c r="A23" s="29" t="s">
        <v>103</v>
      </c>
      <c r="B23" s="29" t="s">
        <v>104</v>
      </c>
      <c r="C23" s="22">
        <v>5380416.38</v>
      </c>
      <c r="D23" s="22">
        <v>5380416.38</v>
      </c>
      <c r="E23" s="22">
        <v>5380416.38</v>
      </c>
      <c r="F23" s="22"/>
      <c r="G23" s="22"/>
    </row>
    <row r="24" ht="18" customHeight="1" spans="1:7">
      <c r="A24" s="29" t="s">
        <v>105</v>
      </c>
      <c r="B24" s="61" t="s">
        <v>106</v>
      </c>
      <c r="C24" s="22">
        <v>5380416.38</v>
      </c>
      <c r="D24" s="22">
        <v>5380416.38</v>
      </c>
      <c r="E24" s="22">
        <v>5380416.38</v>
      </c>
      <c r="F24" s="22"/>
      <c r="G24" s="22"/>
    </row>
    <row r="25" ht="18" customHeight="1" spans="1:7">
      <c r="A25" s="29" t="s">
        <v>107</v>
      </c>
      <c r="B25" s="126" t="s">
        <v>108</v>
      </c>
      <c r="C25" s="22">
        <v>3511535.21</v>
      </c>
      <c r="D25" s="22">
        <v>3511535.21</v>
      </c>
      <c r="E25" s="22">
        <v>3511535.21</v>
      </c>
      <c r="F25" s="22"/>
      <c r="G25" s="22"/>
    </row>
    <row r="26" ht="18" customHeight="1" spans="1:7">
      <c r="A26" s="29" t="s">
        <v>109</v>
      </c>
      <c r="B26" s="126" t="s">
        <v>110</v>
      </c>
      <c r="C26" s="22">
        <v>1748371.17</v>
      </c>
      <c r="D26" s="22">
        <v>1748371.17</v>
      </c>
      <c r="E26" s="22">
        <v>1748371.17</v>
      </c>
      <c r="F26" s="22"/>
      <c r="G26" s="22"/>
    </row>
    <row r="27" ht="18" customHeight="1" spans="1:7">
      <c r="A27" s="29" t="s">
        <v>111</v>
      </c>
      <c r="B27" s="126" t="s">
        <v>112</v>
      </c>
      <c r="C27" s="22">
        <v>120510</v>
      </c>
      <c r="D27" s="22">
        <v>120510</v>
      </c>
      <c r="E27" s="22">
        <v>120510</v>
      </c>
      <c r="F27" s="22"/>
      <c r="G27" s="22"/>
    </row>
    <row r="28" ht="18" customHeight="1" spans="1:7">
      <c r="A28" s="29" t="s">
        <v>113</v>
      </c>
      <c r="B28" s="29" t="s">
        <v>114</v>
      </c>
      <c r="C28" s="22">
        <v>2468860.72</v>
      </c>
      <c r="D28" s="22">
        <v>2468860.72</v>
      </c>
      <c r="E28" s="22">
        <v>2468860.72</v>
      </c>
      <c r="F28" s="22"/>
      <c r="G28" s="22"/>
    </row>
    <row r="29" ht="18" customHeight="1" spans="1:7">
      <c r="A29" s="29" t="s">
        <v>115</v>
      </c>
      <c r="B29" s="61" t="s">
        <v>116</v>
      </c>
      <c r="C29" s="22">
        <v>2468860.72</v>
      </c>
      <c r="D29" s="22">
        <v>2468860.72</v>
      </c>
      <c r="E29" s="22">
        <v>2468860.72</v>
      </c>
      <c r="F29" s="22"/>
      <c r="G29" s="22"/>
    </row>
    <row r="30" ht="18" customHeight="1" spans="1:7">
      <c r="A30" s="29" t="s">
        <v>117</v>
      </c>
      <c r="B30" s="126" t="s">
        <v>118</v>
      </c>
      <c r="C30" s="22">
        <v>2468860.72</v>
      </c>
      <c r="D30" s="22">
        <v>2468860.72</v>
      </c>
      <c r="E30" s="22">
        <v>2468860.72</v>
      </c>
      <c r="F30" s="22"/>
      <c r="G30" s="22"/>
    </row>
    <row r="31" ht="18" customHeight="1" spans="1:7">
      <c r="A31" s="127" t="s">
        <v>119</v>
      </c>
      <c r="B31" s="128" t="s">
        <v>119</v>
      </c>
      <c r="C31" s="22">
        <v>228512176.36</v>
      </c>
      <c r="D31" s="22">
        <v>40919076.36</v>
      </c>
      <c r="E31" s="22">
        <v>34174479.08</v>
      </c>
      <c r="F31" s="22">
        <v>6744597.28</v>
      </c>
      <c r="G31" s="22">
        <v>187593100</v>
      </c>
    </row>
  </sheetData>
  <mergeCells count="7">
    <mergeCell ref="A2:G2"/>
    <mergeCell ref="A3:E3"/>
    <mergeCell ref="A4:B4"/>
    <mergeCell ref="D4:F4"/>
    <mergeCell ref="A31:B31"/>
    <mergeCell ref="C4:C5"/>
    <mergeCell ref="G4:G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F7"/>
  <sheetViews>
    <sheetView showZeros="0" workbookViewId="0">
      <selection activeCell="A1" sqref="A1"/>
    </sheetView>
  </sheetViews>
  <sheetFormatPr defaultColWidth="9.13888888888889" defaultRowHeight="14.25" customHeight="1" outlineLevelRow="6" outlineLevelCol="5"/>
  <cols>
    <col min="1" max="1" width="27.4259259259259" customWidth="1"/>
    <col min="2" max="6" width="31.1759259259259" customWidth="1"/>
  </cols>
  <sheetData>
    <row r="1" ht="12" customHeight="1" spans="1:6">
      <c r="A1" s="114"/>
      <c r="B1" s="114"/>
      <c r="C1" s="58"/>
      <c r="F1" s="57" t="s">
        <v>142</v>
      </c>
    </row>
    <row r="2" ht="25.5" customHeight="1" spans="1:6">
      <c r="A2" s="115" t="s">
        <v>143</v>
      </c>
      <c r="B2" s="115"/>
      <c r="C2" s="115"/>
      <c r="D2" s="115"/>
      <c r="E2" s="115"/>
      <c r="F2" s="115"/>
    </row>
    <row r="3" ht="15.75" customHeight="1" spans="1:6">
      <c r="A3" s="4" t="str">
        <f>"单位名称："&amp;"云南省文化和旅游厅"</f>
        <v>单位名称：云南省文化和旅游厅</v>
      </c>
      <c r="B3" s="114"/>
      <c r="C3" s="58"/>
      <c r="F3" s="57" t="s">
        <v>144</v>
      </c>
    </row>
    <row r="4" ht="19.5" customHeight="1" spans="1:6">
      <c r="A4" s="9" t="s">
        <v>145</v>
      </c>
      <c r="B4" s="15" t="s">
        <v>146</v>
      </c>
      <c r="C4" s="10" t="s">
        <v>147</v>
      </c>
      <c r="D4" s="11"/>
      <c r="E4" s="12"/>
      <c r="F4" s="15" t="s">
        <v>148</v>
      </c>
    </row>
    <row r="5" ht="19.5" customHeight="1" spans="1:6">
      <c r="A5" s="17"/>
      <c r="B5" s="18"/>
      <c r="C5" s="60" t="s">
        <v>33</v>
      </c>
      <c r="D5" s="60" t="s">
        <v>149</v>
      </c>
      <c r="E5" s="60" t="s">
        <v>150</v>
      </c>
      <c r="F5" s="18"/>
    </row>
    <row r="6" ht="18.75" customHeight="1" spans="1:6">
      <c r="A6" s="116">
        <v>1</v>
      </c>
      <c r="B6" s="116">
        <v>2</v>
      </c>
      <c r="C6" s="117">
        <v>3</v>
      </c>
      <c r="D6" s="116">
        <v>4</v>
      </c>
      <c r="E6" s="116">
        <v>5</v>
      </c>
      <c r="F6" s="116">
        <v>6</v>
      </c>
    </row>
    <row r="7" ht="18.75" customHeight="1" spans="1:6">
      <c r="A7" s="118">
        <v>2329500</v>
      </c>
      <c r="B7" s="118">
        <v>2000000</v>
      </c>
      <c r="C7" s="119">
        <v>233000</v>
      </c>
      <c r="D7" s="118"/>
      <c r="E7" s="118">
        <v>233000</v>
      </c>
      <c r="F7" s="118">
        <v>96500</v>
      </c>
    </row>
  </sheetData>
  <mergeCells count="6">
    <mergeCell ref="A2:F2"/>
    <mergeCell ref="A3:D3"/>
    <mergeCell ref="C4:E4"/>
    <mergeCell ref="A4:A5"/>
    <mergeCell ref="B4:B5"/>
    <mergeCell ref="F4:F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W41"/>
  <sheetViews>
    <sheetView showZeros="0" workbookViewId="0">
      <selection activeCell="A1" sqref="A1"/>
    </sheetView>
  </sheetViews>
  <sheetFormatPr defaultColWidth="9.13888888888889" defaultRowHeight="14.25" customHeight="1"/>
  <cols>
    <col min="1" max="1" width="28.7037037037037" customWidth="1"/>
    <col min="2" max="3" width="23.8518518518519" customWidth="1"/>
    <col min="4" max="4" width="14.6018518518519" customWidth="1"/>
    <col min="5" max="5" width="18.4537037037037" customWidth="1"/>
    <col min="6" max="6" width="14.7407407407407" customWidth="1"/>
    <col min="7" max="7" width="18.8796296296296" customWidth="1"/>
    <col min="8" max="13" width="15.3148148148148" customWidth="1"/>
    <col min="14" max="16" width="14.7407407407407" customWidth="1"/>
    <col min="17" max="17" width="14.8796296296296" customWidth="1"/>
    <col min="18" max="23" width="15.0277777777778" customWidth="1"/>
  </cols>
  <sheetData>
    <row r="1" ht="13.5" customHeight="1" spans="4:23">
      <c r="D1" s="1"/>
      <c r="E1" s="1"/>
      <c r="F1" s="1"/>
      <c r="G1" s="1"/>
      <c r="U1" s="110"/>
      <c r="W1" s="53" t="s">
        <v>151</v>
      </c>
    </row>
    <row r="2" ht="27.75" customHeight="1" spans="1:23">
      <c r="A2" s="27" t="s">
        <v>152</v>
      </c>
      <c r="B2" s="27"/>
      <c r="C2" s="27"/>
      <c r="D2" s="27"/>
      <c r="E2" s="27"/>
      <c r="F2" s="27"/>
      <c r="G2" s="27"/>
      <c r="H2" s="27"/>
      <c r="I2" s="27"/>
      <c r="J2" s="27"/>
      <c r="K2" s="27"/>
      <c r="L2" s="27"/>
      <c r="M2" s="27"/>
      <c r="N2" s="27"/>
      <c r="O2" s="27"/>
      <c r="P2" s="27"/>
      <c r="Q2" s="27"/>
      <c r="R2" s="27"/>
      <c r="S2" s="27"/>
      <c r="T2" s="27"/>
      <c r="U2" s="27"/>
      <c r="V2" s="27"/>
      <c r="W2" s="27"/>
    </row>
    <row r="3" ht="13.5" customHeight="1" spans="1:23">
      <c r="A3" s="4" t="str">
        <f>"单位名称："&amp;"云南省文化和旅游厅"</f>
        <v>单位名称：云南省文化和旅游厅</v>
      </c>
      <c r="B3" s="5"/>
      <c r="C3" s="5"/>
      <c r="D3" s="5"/>
      <c r="E3" s="5"/>
      <c r="F3" s="5"/>
      <c r="G3" s="5"/>
      <c r="H3" s="6"/>
      <c r="I3" s="6"/>
      <c r="J3" s="6"/>
      <c r="K3" s="6"/>
      <c r="L3" s="6"/>
      <c r="M3" s="6"/>
      <c r="N3" s="6"/>
      <c r="O3" s="6"/>
      <c r="P3" s="6"/>
      <c r="Q3" s="6"/>
      <c r="U3" s="110"/>
      <c r="W3" s="101" t="s">
        <v>144</v>
      </c>
    </row>
    <row r="4" ht="21.75" customHeight="1" spans="1:23">
      <c r="A4" s="8" t="s">
        <v>153</v>
      </c>
      <c r="B4" s="8" t="s">
        <v>154</v>
      </c>
      <c r="C4" s="8" t="s">
        <v>155</v>
      </c>
      <c r="D4" s="9" t="s">
        <v>156</v>
      </c>
      <c r="E4" s="9" t="s">
        <v>157</v>
      </c>
      <c r="F4" s="9" t="s">
        <v>158</v>
      </c>
      <c r="G4" s="9" t="s">
        <v>159</v>
      </c>
      <c r="H4" s="60" t="s">
        <v>160</v>
      </c>
      <c r="I4" s="60"/>
      <c r="J4" s="60"/>
      <c r="K4" s="60"/>
      <c r="L4" s="107"/>
      <c r="M4" s="107"/>
      <c r="N4" s="107"/>
      <c r="O4" s="107"/>
      <c r="P4" s="107"/>
      <c r="Q4" s="44"/>
      <c r="R4" s="60"/>
      <c r="S4" s="60"/>
      <c r="T4" s="60"/>
      <c r="U4" s="60"/>
      <c r="V4" s="60"/>
      <c r="W4" s="60"/>
    </row>
    <row r="5" ht="21.75" customHeight="1" spans="1:23">
      <c r="A5" s="13"/>
      <c r="B5" s="13"/>
      <c r="C5" s="13"/>
      <c r="D5" s="14"/>
      <c r="E5" s="14"/>
      <c r="F5" s="14"/>
      <c r="G5" s="14"/>
      <c r="H5" s="60" t="s">
        <v>31</v>
      </c>
      <c r="I5" s="44" t="s">
        <v>34</v>
      </c>
      <c r="J5" s="44"/>
      <c r="K5" s="44"/>
      <c r="L5" s="107"/>
      <c r="M5" s="107"/>
      <c r="N5" s="107" t="s">
        <v>161</v>
      </c>
      <c r="O5" s="107"/>
      <c r="P5" s="107"/>
      <c r="Q5" s="44" t="s">
        <v>37</v>
      </c>
      <c r="R5" s="60" t="s">
        <v>52</v>
      </c>
      <c r="S5" s="44"/>
      <c r="T5" s="44"/>
      <c r="U5" s="44"/>
      <c r="V5" s="44"/>
      <c r="W5" s="44"/>
    </row>
    <row r="6" ht="15" customHeight="1" spans="1:23">
      <c r="A6" s="16"/>
      <c r="B6" s="16"/>
      <c r="C6" s="16"/>
      <c r="D6" s="17"/>
      <c r="E6" s="17"/>
      <c r="F6" s="17"/>
      <c r="G6" s="17"/>
      <c r="H6" s="60"/>
      <c r="I6" s="44" t="s">
        <v>162</v>
      </c>
      <c r="J6" s="44" t="s">
        <v>163</v>
      </c>
      <c r="K6" s="44" t="s">
        <v>164</v>
      </c>
      <c r="L6" s="113" t="s">
        <v>165</v>
      </c>
      <c r="M6" s="113" t="s">
        <v>166</v>
      </c>
      <c r="N6" s="113" t="s">
        <v>34</v>
      </c>
      <c r="O6" s="113" t="s">
        <v>35</v>
      </c>
      <c r="P6" s="113" t="s">
        <v>36</v>
      </c>
      <c r="Q6" s="44"/>
      <c r="R6" s="44" t="s">
        <v>33</v>
      </c>
      <c r="S6" s="44" t="s">
        <v>44</v>
      </c>
      <c r="T6" s="44" t="s">
        <v>167</v>
      </c>
      <c r="U6" s="44" t="s">
        <v>40</v>
      </c>
      <c r="V6" s="44" t="s">
        <v>41</v>
      </c>
      <c r="W6" s="44" t="s">
        <v>42</v>
      </c>
    </row>
    <row r="7" ht="27.75" customHeight="1" spans="1:23">
      <c r="A7" s="16"/>
      <c r="B7" s="16"/>
      <c r="C7" s="16"/>
      <c r="D7" s="17"/>
      <c r="E7" s="17"/>
      <c r="F7" s="17"/>
      <c r="G7" s="17"/>
      <c r="H7" s="60"/>
      <c r="I7" s="44"/>
      <c r="J7" s="44"/>
      <c r="K7" s="44"/>
      <c r="L7" s="113"/>
      <c r="M7" s="113"/>
      <c r="N7" s="113"/>
      <c r="O7" s="113"/>
      <c r="P7" s="113"/>
      <c r="Q7" s="44"/>
      <c r="R7" s="44"/>
      <c r="S7" s="44"/>
      <c r="T7" s="44"/>
      <c r="U7" s="44"/>
      <c r="V7" s="44"/>
      <c r="W7" s="44"/>
    </row>
    <row r="8" ht="15" customHeight="1" spans="1:23">
      <c r="A8" s="111">
        <v>1</v>
      </c>
      <c r="B8" s="111">
        <v>2</v>
      </c>
      <c r="C8" s="111">
        <v>3</v>
      </c>
      <c r="D8" s="111">
        <v>4</v>
      </c>
      <c r="E8" s="111">
        <v>5</v>
      </c>
      <c r="F8" s="111">
        <v>6</v>
      </c>
      <c r="G8" s="111">
        <v>7</v>
      </c>
      <c r="H8" s="111">
        <v>8</v>
      </c>
      <c r="I8" s="111">
        <v>9</v>
      </c>
      <c r="J8" s="111">
        <v>10</v>
      </c>
      <c r="K8" s="111">
        <v>11</v>
      </c>
      <c r="L8" s="111">
        <v>12</v>
      </c>
      <c r="M8" s="111">
        <v>13</v>
      </c>
      <c r="N8" s="111">
        <v>14</v>
      </c>
      <c r="O8" s="111">
        <v>15</v>
      </c>
      <c r="P8" s="111">
        <v>16</v>
      </c>
      <c r="Q8" s="111">
        <v>17</v>
      </c>
      <c r="R8" s="111">
        <v>18</v>
      </c>
      <c r="S8" s="111">
        <v>19</v>
      </c>
      <c r="T8" s="111">
        <v>20</v>
      </c>
      <c r="U8" s="111">
        <v>21</v>
      </c>
      <c r="V8" s="111">
        <v>22</v>
      </c>
      <c r="W8" s="111">
        <v>23</v>
      </c>
    </row>
    <row r="9" ht="18.75" customHeight="1" spans="1:23">
      <c r="A9" s="23" t="s">
        <v>46</v>
      </c>
      <c r="B9" s="106"/>
      <c r="C9" s="23"/>
      <c r="D9" s="23"/>
      <c r="E9" s="23"/>
      <c r="F9" s="23"/>
      <c r="G9" s="23"/>
      <c r="H9" s="22">
        <v>40919076.36</v>
      </c>
      <c r="I9" s="22">
        <v>40919076.36</v>
      </c>
      <c r="J9" s="22">
        <v>9870868.9</v>
      </c>
      <c r="K9" s="22"/>
      <c r="L9" s="22">
        <v>31048207.46</v>
      </c>
      <c r="M9" s="22"/>
      <c r="N9" s="22"/>
      <c r="O9" s="22"/>
      <c r="P9" s="22"/>
      <c r="Q9" s="22"/>
      <c r="R9" s="22"/>
      <c r="S9" s="22"/>
      <c r="T9" s="22"/>
      <c r="U9" s="22"/>
      <c r="V9" s="22"/>
      <c r="W9" s="22"/>
    </row>
    <row r="10" ht="31.4" customHeight="1" spans="1:23">
      <c r="A10" s="112" t="s">
        <v>46</v>
      </c>
      <c r="B10" s="106" t="s">
        <v>168</v>
      </c>
      <c r="C10" s="23" t="s">
        <v>169</v>
      </c>
      <c r="D10" s="23" t="s">
        <v>70</v>
      </c>
      <c r="E10" s="23" t="s">
        <v>71</v>
      </c>
      <c r="F10" s="23" t="s">
        <v>170</v>
      </c>
      <c r="G10" s="23" t="s">
        <v>171</v>
      </c>
      <c r="H10" s="22">
        <v>8034339.6</v>
      </c>
      <c r="I10" s="22">
        <v>8034339.6</v>
      </c>
      <c r="J10" s="22">
        <v>2008584.9</v>
      </c>
      <c r="K10" s="22"/>
      <c r="L10" s="22">
        <v>6025754.7</v>
      </c>
      <c r="M10" s="22"/>
      <c r="N10" s="22"/>
      <c r="O10" s="22"/>
      <c r="P10" s="22"/>
      <c r="Q10" s="22"/>
      <c r="R10" s="22"/>
      <c r="S10" s="22"/>
      <c r="T10" s="22"/>
      <c r="U10" s="22"/>
      <c r="V10" s="22"/>
      <c r="W10" s="22"/>
    </row>
    <row r="11" ht="31.4" customHeight="1" spans="1:23">
      <c r="A11" s="112" t="s">
        <v>46</v>
      </c>
      <c r="B11" s="106" t="s">
        <v>168</v>
      </c>
      <c r="C11" s="23" t="s">
        <v>169</v>
      </c>
      <c r="D11" s="23" t="s">
        <v>70</v>
      </c>
      <c r="E11" s="23" t="s">
        <v>71</v>
      </c>
      <c r="F11" s="23" t="s">
        <v>172</v>
      </c>
      <c r="G11" s="23" t="s">
        <v>173</v>
      </c>
      <c r="H11" s="22">
        <v>9842313.6</v>
      </c>
      <c r="I11" s="22">
        <v>9842313.6</v>
      </c>
      <c r="J11" s="22">
        <v>2460578.4</v>
      </c>
      <c r="K11" s="22"/>
      <c r="L11" s="22">
        <v>7381735.2</v>
      </c>
      <c r="M11" s="22"/>
      <c r="N11" s="22"/>
      <c r="O11" s="22"/>
      <c r="P11" s="22"/>
      <c r="Q11" s="22"/>
      <c r="R11" s="22"/>
      <c r="S11" s="22"/>
      <c r="T11" s="22"/>
      <c r="U11" s="22"/>
      <c r="V11" s="22"/>
      <c r="W11" s="22"/>
    </row>
    <row r="12" ht="31.4" customHeight="1" spans="1:23">
      <c r="A12" s="112" t="s">
        <v>46</v>
      </c>
      <c r="B12" s="106" t="s">
        <v>168</v>
      </c>
      <c r="C12" s="23" t="s">
        <v>169</v>
      </c>
      <c r="D12" s="23" t="s">
        <v>70</v>
      </c>
      <c r="E12" s="23" t="s">
        <v>71</v>
      </c>
      <c r="F12" s="23" t="s">
        <v>174</v>
      </c>
      <c r="G12" s="23" t="s">
        <v>175</v>
      </c>
      <c r="H12" s="22">
        <v>720528.3</v>
      </c>
      <c r="I12" s="22">
        <v>720528.3</v>
      </c>
      <c r="J12" s="22">
        <v>180132.08</v>
      </c>
      <c r="K12" s="22"/>
      <c r="L12" s="22">
        <v>540396.22</v>
      </c>
      <c r="M12" s="22"/>
      <c r="N12" s="22"/>
      <c r="O12" s="22"/>
      <c r="P12" s="22"/>
      <c r="Q12" s="22"/>
      <c r="R12" s="22"/>
      <c r="S12" s="22"/>
      <c r="T12" s="22"/>
      <c r="U12" s="22"/>
      <c r="V12" s="22"/>
      <c r="W12" s="22"/>
    </row>
    <row r="13" ht="31.4" customHeight="1" spans="1:23">
      <c r="A13" s="112" t="s">
        <v>46</v>
      </c>
      <c r="B13" s="106" t="s">
        <v>176</v>
      </c>
      <c r="C13" s="23" t="s">
        <v>177</v>
      </c>
      <c r="D13" s="23" t="s">
        <v>98</v>
      </c>
      <c r="E13" s="23" t="s">
        <v>99</v>
      </c>
      <c r="F13" s="23" t="s">
        <v>178</v>
      </c>
      <c r="G13" s="23" t="s">
        <v>179</v>
      </c>
      <c r="H13" s="22">
        <v>3204052.16</v>
      </c>
      <c r="I13" s="22">
        <v>3204052.16</v>
      </c>
      <c r="J13" s="22">
        <v>801013.04</v>
      </c>
      <c r="K13" s="22"/>
      <c r="L13" s="22">
        <v>2403039.12</v>
      </c>
      <c r="M13" s="22"/>
      <c r="N13" s="22"/>
      <c r="O13" s="22"/>
      <c r="P13" s="22"/>
      <c r="Q13" s="22"/>
      <c r="R13" s="22"/>
      <c r="S13" s="22"/>
      <c r="T13" s="22"/>
      <c r="U13" s="22"/>
      <c r="V13" s="22"/>
      <c r="W13" s="22"/>
    </row>
    <row r="14" ht="31.4" customHeight="1" spans="1:23">
      <c r="A14" s="112" t="s">
        <v>46</v>
      </c>
      <c r="B14" s="106" t="s">
        <v>176</v>
      </c>
      <c r="C14" s="23" t="s">
        <v>177</v>
      </c>
      <c r="D14" s="23" t="s">
        <v>102</v>
      </c>
      <c r="E14" s="23" t="s">
        <v>101</v>
      </c>
      <c r="F14" s="23" t="s">
        <v>180</v>
      </c>
      <c r="G14" s="23" t="s">
        <v>181</v>
      </c>
      <c r="H14" s="22">
        <v>33454.32</v>
      </c>
      <c r="I14" s="22">
        <v>33454.32</v>
      </c>
      <c r="J14" s="22">
        <v>8363.58</v>
      </c>
      <c r="K14" s="22"/>
      <c r="L14" s="22">
        <v>25090.74</v>
      </c>
      <c r="M14" s="22"/>
      <c r="N14" s="22"/>
      <c r="O14" s="22"/>
      <c r="P14" s="22"/>
      <c r="Q14" s="22"/>
      <c r="R14" s="22"/>
      <c r="S14" s="22"/>
      <c r="T14" s="22"/>
      <c r="U14" s="22"/>
      <c r="V14" s="22"/>
      <c r="W14" s="22"/>
    </row>
    <row r="15" ht="31.4" customHeight="1" spans="1:23">
      <c r="A15" s="112" t="s">
        <v>46</v>
      </c>
      <c r="B15" s="106" t="s">
        <v>176</v>
      </c>
      <c r="C15" s="23" t="s">
        <v>177</v>
      </c>
      <c r="D15" s="23" t="s">
        <v>107</v>
      </c>
      <c r="E15" s="23" t="s">
        <v>108</v>
      </c>
      <c r="F15" s="23" t="s">
        <v>182</v>
      </c>
      <c r="G15" s="23" t="s">
        <v>183</v>
      </c>
      <c r="H15" s="22">
        <v>2162735.21</v>
      </c>
      <c r="I15" s="22">
        <v>2162735.21</v>
      </c>
      <c r="J15" s="22">
        <v>540683.8</v>
      </c>
      <c r="K15" s="22"/>
      <c r="L15" s="22">
        <v>1622051.41</v>
      </c>
      <c r="M15" s="22"/>
      <c r="N15" s="22"/>
      <c r="O15" s="22"/>
      <c r="P15" s="22"/>
      <c r="Q15" s="22"/>
      <c r="R15" s="22"/>
      <c r="S15" s="22"/>
      <c r="T15" s="22"/>
      <c r="U15" s="22"/>
      <c r="V15" s="22"/>
      <c r="W15" s="22"/>
    </row>
    <row r="16" ht="31.4" customHeight="1" spans="1:23">
      <c r="A16" s="112" t="s">
        <v>46</v>
      </c>
      <c r="B16" s="106" t="s">
        <v>176</v>
      </c>
      <c r="C16" s="23" t="s">
        <v>177</v>
      </c>
      <c r="D16" s="23" t="s">
        <v>107</v>
      </c>
      <c r="E16" s="23" t="s">
        <v>108</v>
      </c>
      <c r="F16" s="23" t="s">
        <v>184</v>
      </c>
      <c r="G16" s="23" t="s">
        <v>185</v>
      </c>
      <c r="H16" s="22">
        <v>1348800</v>
      </c>
      <c r="I16" s="22">
        <v>1348800</v>
      </c>
      <c r="J16" s="22">
        <v>337200</v>
      </c>
      <c r="K16" s="22"/>
      <c r="L16" s="22">
        <v>1011600</v>
      </c>
      <c r="M16" s="22"/>
      <c r="N16" s="22"/>
      <c r="O16" s="22"/>
      <c r="P16" s="22"/>
      <c r="Q16" s="22"/>
      <c r="R16" s="22"/>
      <c r="S16" s="22"/>
      <c r="T16" s="22"/>
      <c r="U16" s="22"/>
      <c r="V16" s="22"/>
      <c r="W16" s="22"/>
    </row>
    <row r="17" ht="31.4" customHeight="1" spans="1:23">
      <c r="A17" s="112" t="s">
        <v>46</v>
      </c>
      <c r="B17" s="106" t="s">
        <v>176</v>
      </c>
      <c r="C17" s="23" t="s">
        <v>177</v>
      </c>
      <c r="D17" s="23" t="s">
        <v>109</v>
      </c>
      <c r="E17" s="23" t="s">
        <v>110</v>
      </c>
      <c r="F17" s="23" t="s">
        <v>186</v>
      </c>
      <c r="G17" s="23" t="s">
        <v>187</v>
      </c>
      <c r="H17" s="22">
        <v>1748371.17</v>
      </c>
      <c r="I17" s="22">
        <v>1748371.17</v>
      </c>
      <c r="J17" s="22">
        <v>437092.79</v>
      </c>
      <c r="K17" s="22"/>
      <c r="L17" s="22">
        <v>1311278.38</v>
      </c>
      <c r="M17" s="22"/>
      <c r="N17" s="22"/>
      <c r="O17" s="22"/>
      <c r="P17" s="22"/>
      <c r="Q17" s="22"/>
      <c r="R17" s="22"/>
      <c r="S17" s="22"/>
      <c r="T17" s="22"/>
      <c r="U17" s="22"/>
      <c r="V17" s="22"/>
      <c r="W17" s="22"/>
    </row>
    <row r="18" ht="31.4" customHeight="1" spans="1:23">
      <c r="A18" s="112" t="s">
        <v>46</v>
      </c>
      <c r="B18" s="106" t="s">
        <v>176</v>
      </c>
      <c r="C18" s="23" t="s">
        <v>177</v>
      </c>
      <c r="D18" s="23" t="s">
        <v>111</v>
      </c>
      <c r="E18" s="23" t="s">
        <v>112</v>
      </c>
      <c r="F18" s="23" t="s">
        <v>180</v>
      </c>
      <c r="G18" s="23" t="s">
        <v>181</v>
      </c>
      <c r="H18" s="22">
        <v>120510</v>
      </c>
      <c r="I18" s="22">
        <v>120510</v>
      </c>
      <c r="J18" s="22">
        <v>120510</v>
      </c>
      <c r="K18" s="22"/>
      <c r="L18" s="22"/>
      <c r="M18" s="22"/>
      <c r="N18" s="22"/>
      <c r="O18" s="22"/>
      <c r="P18" s="22"/>
      <c r="Q18" s="22"/>
      <c r="R18" s="22"/>
      <c r="S18" s="22"/>
      <c r="T18" s="22"/>
      <c r="U18" s="22"/>
      <c r="V18" s="22"/>
      <c r="W18" s="22"/>
    </row>
    <row r="19" ht="31.4" customHeight="1" spans="1:23">
      <c r="A19" s="112" t="s">
        <v>46</v>
      </c>
      <c r="B19" s="106" t="s">
        <v>188</v>
      </c>
      <c r="C19" s="23" t="s">
        <v>118</v>
      </c>
      <c r="D19" s="23" t="s">
        <v>117</v>
      </c>
      <c r="E19" s="23" t="s">
        <v>118</v>
      </c>
      <c r="F19" s="23" t="s">
        <v>189</v>
      </c>
      <c r="G19" s="23" t="s">
        <v>118</v>
      </c>
      <c r="H19" s="22">
        <v>2468860.72</v>
      </c>
      <c r="I19" s="22">
        <v>2468860.72</v>
      </c>
      <c r="J19" s="22">
        <v>617215.18</v>
      </c>
      <c r="K19" s="22"/>
      <c r="L19" s="22">
        <v>1851645.54</v>
      </c>
      <c r="M19" s="22"/>
      <c r="N19" s="22"/>
      <c r="O19" s="22"/>
      <c r="P19" s="22"/>
      <c r="Q19" s="22"/>
      <c r="R19" s="22"/>
      <c r="S19" s="22"/>
      <c r="T19" s="22"/>
      <c r="U19" s="22"/>
      <c r="V19" s="22"/>
      <c r="W19" s="22"/>
    </row>
    <row r="20" ht="31.4" customHeight="1" spans="1:23">
      <c r="A20" s="112" t="s">
        <v>46</v>
      </c>
      <c r="B20" s="106" t="s">
        <v>190</v>
      </c>
      <c r="C20" s="23" t="s">
        <v>191</v>
      </c>
      <c r="D20" s="23" t="s">
        <v>70</v>
      </c>
      <c r="E20" s="23" t="s">
        <v>71</v>
      </c>
      <c r="F20" s="23" t="s">
        <v>192</v>
      </c>
      <c r="G20" s="23" t="s">
        <v>193</v>
      </c>
      <c r="H20" s="22">
        <v>233000</v>
      </c>
      <c r="I20" s="22">
        <v>233000</v>
      </c>
      <c r="J20" s="22"/>
      <c r="K20" s="22"/>
      <c r="L20" s="22">
        <v>233000</v>
      </c>
      <c r="M20" s="22"/>
      <c r="N20" s="22"/>
      <c r="O20" s="22"/>
      <c r="P20" s="22"/>
      <c r="Q20" s="22"/>
      <c r="R20" s="22"/>
      <c r="S20" s="22"/>
      <c r="T20" s="22"/>
      <c r="U20" s="22"/>
      <c r="V20" s="22"/>
      <c r="W20" s="22"/>
    </row>
    <row r="21" ht="31.4" customHeight="1" spans="1:23">
      <c r="A21" s="112" t="s">
        <v>46</v>
      </c>
      <c r="B21" s="106" t="s">
        <v>194</v>
      </c>
      <c r="C21" s="23" t="s">
        <v>148</v>
      </c>
      <c r="D21" s="23" t="s">
        <v>70</v>
      </c>
      <c r="E21" s="23" t="s">
        <v>71</v>
      </c>
      <c r="F21" s="23" t="s">
        <v>195</v>
      </c>
      <c r="G21" s="23" t="s">
        <v>148</v>
      </c>
      <c r="H21" s="22">
        <v>96500</v>
      </c>
      <c r="I21" s="22">
        <v>96500</v>
      </c>
      <c r="J21" s="22">
        <v>24125</v>
      </c>
      <c r="K21" s="22"/>
      <c r="L21" s="22">
        <v>72375</v>
      </c>
      <c r="M21" s="22"/>
      <c r="N21" s="22"/>
      <c r="O21" s="22"/>
      <c r="P21" s="22"/>
      <c r="Q21" s="22"/>
      <c r="R21" s="22"/>
      <c r="S21" s="22"/>
      <c r="T21" s="22"/>
      <c r="U21" s="22"/>
      <c r="V21" s="22"/>
      <c r="W21" s="22"/>
    </row>
    <row r="22" ht="31.4" customHeight="1" spans="1:23">
      <c r="A22" s="112" t="s">
        <v>46</v>
      </c>
      <c r="B22" s="106" t="s">
        <v>196</v>
      </c>
      <c r="C22" s="23" t="s">
        <v>197</v>
      </c>
      <c r="D22" s="23" t="s">
        <v>70</v>
      </c>
      <c r="E22" s="23" t="s">
        <v>71</v>
      </c>
      <c r="F22" s="23" t="s">
        <v>198</v>
      </c>
      <c r="G22" s="23" t="s">
        <v>199</v>
      </c>
      <c r="H22" s="22">
        <v>1855980</v>
      </c>
      <c r="I22" s="22">
        <v>1855980</v>
      </c>
      <c r="J22" s="22">
        <v>463995</v>
      </c>
      <c r="K22" s="22"/>
      <c r="L22" s="22">
        <v>1391985</v>
      </c>
      <c r="M22" s="22"/>
      <c r="N22" s="22"/>
      <c r="O22" s="22"/>
      <c r="P22" s="22"/>
      <c r="Q22" s="22"/>
      <c r="R22" s="22"/>
      <c r="S22" s="22"/>
      <c r="T22" s="22"/>
      <c r="U22" s="22"/>
      <c r="V22" s="22"/>
      <c r="W22" s="22"/>
    </row>
    <row r="23" ht="31.4" customHeight="1" spans="1:23">
      <c r="A23" s="112" t="s">
        <v>46</v>
      </c>
      <c r="B23" s="106" t="s">
        <v>200</v>
      </c>
      <c r="C23" s="23" t="s">
        <v>201</v>
      </c>
      <c r="D23" s="23" t="s">
        <v>70</v>
      </c>
      <c r="E23" s="23" t="s">
        <v>71</v>
      </c>
      <c r="F23" s="23" t="s">
        <v>202</v>
      </c>
      <c r="G23" s="23" t="s">
        <v>201</v>
      </c>
      <c r="H23" s="22">
        <v>438794.2</v>
      </c>
      <c r="I23" s="22">
        <v>438794.2</v>
      </c>
      <c r="J23" s="22">
        <v>109698.55</v>
      </c>
      <c r="K23" s="22"/>
      <c r="L23" s="22">
        <v>329095.65</v>
      </c>
      <c r="M23" s="22"/>
      <c r="N23" s="22"/>
      <c r="O23" s="22"/>
      <c r="P23" s="22"/>
      <c r="Q23" s="22"/>
      <c r="R23" s="22"/>
      <c r="S23" s="22"/>
      <c r="T23" s="22"/>
      <c r="U23" s="22"/>
      <c r="V23" s="22"/>
      <c r="W23" s="22"/>
    </row>
    <row r="24" ht="31.4" customHeight="1" spans="1:23">
      <c r="A24" s="112" t="s">
        <v>46</v>
      </c>
      <c r="B24" s="106" t="s">
        <v>203</v>
      </c>
      <c r="C24" s="23" t="s">
        <v>204</v>
      </c>
      <c r="D24" s="23" t="s">
        <v>70</v>
      </c>
      <c r="E24" s="23" t="s">
        <v>71</v>
      </c>
      <c r="F24" s="23" t="s">
        <v>205</v>
      </c>
      <c r="G24" s="23" t="s">
        <v>206</v>
      </c>
      <c r="H24" s="22">
        <v>562104.84</v>
      </c>
      <c r="I24" s="22">
        <v>562104.84</v>
      </c>
      <c r="J24" s="22"/>
      <c r="K24" s="22"/>
      <c r="L24" s="22">
        <v>562104.84</v>
      </c>
      <c r="M24" s="22"/>
      <c r="N24" s="22"/>
      <c r="O24" s="22"/>
      <c r="P24" s="22"/>
      <c r="Q24" s="22"/>
      <c r="R24" s="22"/>
      <c r="S24" s="22"/>
      <c r="T24" s="22"/>
      <c r="U24" s="22"/>
      <c r="V24" s="22"/>
      <c r="W24" s="22"/>
    </row>
    <row r="25" ht="31.4" customHeight="1" spans="1:23">
      <c r="A25" s="112" t="s">
        <v>46</v>
      </c>
      <c r="B25" s="106" t="s">
        <v>203</v>
      </c>
      <c r="C25" s="23" t="s">
        <v>204</v>
      </c>
      <c r="D25" s="23" t="s">
        <v>70</v>
      </c>
      <c r="E25" s="23" t="s">
        <v>71</v>
      </c>
      <c r="F25" s="23" t="s">
        <v>207</v>
      </c>
      <c r="G25" s="23" t="s">
        <v>208</v>
      </c>
      <c r="H25" s="22">
        <v>158091.58</v>
      </c>
      <c r="I25" s="22">
        <v>158091.58</v>
      </c>
      <c r="J25" s="22"/>
      <c r="K25" s="22"/>
      <c r="L25" s="22">
        <v>158091.58</v>
      </c>
      <c r="M25" s="22"/>
      <c r="N25" s="22"/>
      <c r="O25" s="22"/>
      <c r="P25" s="22"/>
      <c r="Q25" s="22"/>
      <c r="R25" s="22"/>
      <c r="S25" s="22"/>
      <c r="T25" s="22"/>
      <c r="U25" s="22"/>
      <c r="V25" s="22"/>
      <c r="W25" s="22"/>
    </row>
    <row r="26" ht="31.4" customHeight="1" spans="1:23">
      <c r="A26" s="112" t="s">
        <v>46</v>
      </c>
      <c r="B26" s="106" t="s">
        <v>203</v>
      </c>
      <c r="C26" s="23" t="s">
        <v>204</v>
      </c>
      <c r="D26" s="23" t="s">
        <v>70</v>
      </c>
      <c r="E26" s="23" t="s">
        <v>71</v>
      </c>
      <c r="F26" s="23" t="s">
        <v>209</v>
      </c>
      <c r="G26" s="23" t="s">
        <v>210</v>
      </c>
      <c r="H26" s="22">
        <v>97873.77</v>
      </c>
      <c r="I26" s="22">
        <v>97873.77</v>
      </c>
      <c r="J26" s="22">
        <v>24468.44</v>
      </c>
      <c r="K26" s="22"/>
      <c r="L26" s="22">
        <v>73405.33</v>
      </c>
      <c r="M26" s="22"/>
      <c r="N26" s="22"/>
      <c r="O26" s="22"/>
      <c r="P26" s="22"/>
      <c r="Q26" s="22"/>
      <c r="R26" s="22"/>
      <c r="S26" s="22"/>
      <c r="T26" s="22"/>
      <c r="U26" s="22"/>
      <c r="V26" s="22"/>
      <c r="W26" s="22"/>
    </row>
    <row r="27" ht="31.4" customHeight="1" spans="1:23">
      <c r="A27" s="112" t="s">
        <v>46</v>
      </c>
      <c r="B27" s="106" t="s">
        <v>203</v>
      </c>
      <c r="C27" s="23" t="s">
        <v>204</v>
      </c>
      <c r="D27" s="23" t="s">
        <v>70</v>
      </c>
      <c r="E27" s="23" t="s">
        <v>71</v>
      </c>
      <c r="F27" s="23" t="s">
        <v>211</v>
      </c>
      <c r="G27" s="23" t="s">
        <v>212</v>
      </c>
      <c r="H27" s="22">
        <v>95288.88</v>
      </c>
      <c r="I27" s="22">
        <v>95288.88</v>
      </c>
      <c r="J27" s="22">
        <v>23822.22</v>
      </c>
      <c r="K27" s="22"/>
      <c r="L27" s="22">
        <v>71466.66</v>
      </c>
      <c r="M27" s="22"/>
      <c r="N27" s="22"/>
      <c r="O27" s="22"/>
      <c r="P27" s="22"/>
      <c r="Q27" s="22"/>
      <c r="R27" s="22"/>
      <c r="S27" s="22"/>
      <c r="T27" s="22"/>
      <c r="U27" s="22"/>
      <c r="V27" s="22"/>
      <c r="W27" s="22"/>
    </row>
    <row r="28" ht="31.4" customHeight="1" spans="1:23">
      <c r="A28" s="112" t="s">
        <v>46</v>
      </c>
      <c r="B28" s="106" t="s">
        <v>203</v>
      </c>
      <c r="C28" s="23" t="s">
        <v>204</v>
      </c>
      <c r="D28" s="23" t="s">
        <v>70</v>
      </c>
      <c r="E28" s="23" t="s">
        <v>71</v>
      </c>
      <c r="F28" s="23" t="s">
        <v>213</v>
      </c>
      <c r="G28" s="23" t="s">
        <v>214</v>
      </c>
      <c r="H28" s="22">
        <v>86124.97</v>
      </c>
      <c r="I28" s="22">
        <v>86124.97</v>
      </c>
      <c r="J28" s="22">
        <v>21531.24</v>
      </c>
      <c r="K28" s="22"/>
      <c r="L28" s="22">
        <v>64593.73</v>
      </c>
      <c r="M28" s="22"/>
      <c r="N28" s="22"/>
      <c r="O28" s="22"/>
      <c r="P28" s="22"/>
      <c r="Q28" s="22"/>
      <c r="R28" s="22"/>
      <c r="S28" s="22"/>
      <c r="T28" s="22"/>
      <c r="U28" s="22"/>
      <c r="V28" s="22"/>
      <c r="W28" s="22"/>
    </row>
    <row r="29" ht="31.4" customHeight="1" spans="1:23">
      <c r="A29" s="112" t="s">
        <v>46</v>
      </c>
      <c r="B29" s="106" t="s">
        <v>203</v>
      </c>
      <c r="C29" s="23" t="s">
        <v>204</v>
      </c>
      <c r="D29" s="23" t="s">
        <v>70</v>
      </c>
      <c r="E29" s="23" t="s">
        <v>71</v>
      </c>
      <c r="F29" s="23" t="s">
        <v>215</v>
      </c>
      <c r="G29" s="23" t="s">
        <v>216</v>
      </c>
      <c r="H29" s="22">
        <v>165424.68</v>
      </c>
      <c r="I29" s="22">
        <v>165424.68</v>
      </c>
      <c r="J29" s="22">
        <v>41356.17</v>
      </c>
      <c r="K29" s="22"/>
      <c r="L29" s="22">
        <v>124068.51</v>
      </c>
      <c r="M29" s="22"/>
      <c r="N29" s="22"/>
      <c r="O29" s="22"/>
      <c r="P29" s="22"/>
      <c r="Q29" s="22"/>
      <c r="R29" s="22"/>
      <c r="S29" s="22"/>
      <c r="T29" s="22"/>
      <c r="U29" s="22"/>
      <c r="V29" s="22"/>
      <c r="W29" s="22"/>
    </row>
    <row r="30" ht="31.4" customHeight="1" spans="1:23">
      <c r="A30" s="112" t="s">
        <v>46</v>
      </c>
      <c r="B30" s="106" t="s">
        <v>203</v>
      </c>
      <c r="C30" s="23" t="s">
        <v>204</v>
      </c>
      <c r="D30" s="23" t="s">
        <v>70</v>
      </c>
      <c r="E30" s="23" t="s">
        <v>71</v>
      </c>
      <c r="F30" s="23" t="s">
        <v>217</v>
      </c>
      <c r="G30" s="23" t="s">
        <v>218</v>
      </c>
      <c r="H30" s="22">
        <v>981544.35</v>
      </c>
      <c r="I30" s="22">
        <v>981544.35</v>
      </c>
      <c r="J30" s="22">
        <v>245386.09</v>
      </c>
      <c r="K30" s="22"/>
      <c r="L30" s="22">
        <v>736158.26</v>
      </c>
      <c r="M30" s="22"/>
      <c r="N30" s="22"/>
      <c r="O30" s="22"/>
      <c r="P30" s="22"/>
      <c r="Q30" s="22"/>
      <c r="R30" s="22"/>
      <c r="S30" s="22"/>
      <c r="T30" s="22"/>
      <c r="U30" s="22"/>
      <c r="V30" s="22"/>
      <c r="W30" s="22"/>
    </row>
    <row r="31" ht="31.4" customHeight="1" spans="1:23">
      <c r="A31" s="112" t="s">
        <v>46</v>
      </c>
      <c r="B31" s="106" t="s">
        <v>203</v>
      </c>
      <c r="C31" s="23" t="s">
        <v>204</v>
      </c>
      <c r="D31" s="23" t="s">
        <v>70</v>
      </c>
      <c r="E31" s="23" t="s">
        <v>71</v>
      </c>
      <c r="F31" s="23" t="s">
        <v>219</v>
      </c>
      <c r="G31" s="23" t="s">
        <v>220</v>
      </c>
      <c r="H31" s="22">
        <v>45754.63</v>
      </c>
      <c r="I31" s="22">
        <v>45754.63</v>
      </c>
      <c r="J31" s="22">
        <v>11438.66</v>
      </c>
      <c r="K31" s="22"/>
      <c r="L31" s="22">
        <v>34315.97</v>
      </c>
      <c r="M31" s="22"/>
      <c r="N31" s="22"/>
      <c r="O31" s="22"/>
      <c r="P31" s="22"/>
      <c r="Q31" s="22"/>
      <c r="R31" s="22"/>
      <c r="S31" s="22"/>
      <c r="T31" s="22"/>
      <c r="U31" s="22"/>
      <c r="V31" s="22"/>
      <c r="W31" s="22"/>
    </row>
    <row r="32" ht="31.4" customHeight="1" spans="1:23">
      <c r="A32" s="112" t="s">
        <v>46</v>
      </c>
      <c r="B32" s="106" t="s">
        <v>203</v>
      </c>
      <c r="C32" s="23" t="s">
        <v>204</v>
      </c>
      <c r="D32" s="23" t="s">
        <v>70</v>
      </c>
      <c r="E32" s="23" t="s">
        <v>71</v>
      </c>
      <c r="F32" s="23" t="s">
        <v>221</v>
      </c>
      <c r="G32" s="23" t="s">
        <v>222</v>
      </c>
      <c r="H32" s="22">
        <v>98207</v>
      </c>
      <c r="I32" s="22">
        <v>98207</v>
      </c>
      <c r="J32" s="22">
        <v>24551.75</v>
      </c>
      <c r="K32" s="22"/>
      <c r="L32" s="22">
        <v>73655.25</v>
      </c>
      <c r="M32" s="22"/>
      <c r="N32" s="22"/>
      <c r="O32" s="22"/>
      <c r="P32" s="22"/>
      <c r="Q32" s="22"/>
      <c r="R32" s="22"/>
      <c r="S32" s="22"/>
      <c r="T32" s="22"/>
      <c r="U32" s="22"/>
      <c r="V32" s="22"/>
      <c r="W32" s="22"/>
    </row>
    <row r="33" ht="31.4" customHeight="1" spans="1:23">
      <c r="A33" s="112" t="s">
        <v>46</v>
      </c>
      <c r="B33" s="106" t="s">
        <v>203</v>
      </c>
      <c r="C33" s="23" t="s">
        <v>204</v>
      </c>
      <c r="D33" s="23" t="s">
        <v>70</v>
      </c>
      <c r="E33" s="23" t="s">
        <v>71</v>
      </c>
      <c r="F33" s="23" t="s">
        <v>223</v>
      </c>
      <c r="G33" s="23" t="s">
        <v>224</v>
      </c>
      <c r="H33" s="22">
        <v>147209.83</v>
      </c>
      <c r="I33" s="22">
        <v>147209.83</v>
      </c>
      <c r="J33" s="22">
        <v>36802.46</v>
      </c>
      <c r="K33" s="22"/>
      <c r="L33" s="22">
        <v>110407.37</v>
      </c>
      <c r="M33" s="22"/>
      <c r="N33" s="22"/>
      <c r="O33" s="22"/>
      <c r="P33" s="22"/>
      <c r="Q33" s="22"/>
      <c r="R33" s="22"/>
      <c r="S33" s="22"/>
      <c r="T33" s="22"/>
      <c r="U33" s="22"/>
      <c r="V33" s="22"/>
      <c r="W33" s="22"/>
    </row>
    <row r="34" ht="31.4" customHeight="1" spans="1:23">
      <c r="A34" s="112" t="s">
        <v>46</v>
      </c>
      <c r="B34" s="106" t="s">
        <v>203</v>
      </c>
      <c r="C34" s="23" t="s">
        <v>204</v>
      </c>
      <c r="D34" s="23" t="s">
        <v>70</v>
      </c>
      <c r="E34" s="23" t="s">
        <v>71</v>
      </c>
      <c r="F34" s="23" t="s">
        <v>225</v>
      </c>
      <c r="G34" s="23" t="s">
        <v>226</v>
      </c>
      <c r="H34" s="22">
        <v>100000</v>
      </c>
      <c r="I34" s="22">
        <v>100000</v>
      </c>
      <c r="J34" s="22">
        <v>25000</v>
      </c>
      <c r="K34" s="22"/>
      <c r="L34" s="22">
        <v>75000</v>
      </c>
      <c r="M34" s="22"/>
      <c r="N34" s="22"/>
      <c r="O34" s="22"/>
      <c r="P34" s="22"/>
      <c r="Q34" s="22"/>
      <c r="R34" s="22"/>
      <c r="S34" s="22"/>
      <c r="T34" s="22"/>
      <c r="U34" s="22"/>
      <c r="V34" s="22"/>
      <c r="W34" s="22"/>
    </row>
    <row r="35" ht="31.4" customHeight="1" spans="1:23">
      <c r="A35" s="112" t="s">
        <v>46</v>
      </c>
      <c r="B35" s="106" t="s">
        <v>203</v>
      </c>
      <c r="C35" s="23" t="s">
        <v>204</v>
      </c>
      <c r="D35" s="23" t="s">
        <v>70</v>
      </c>
      <c r="E35" s="23" t="s">
        <v>71</v>
      </c>
      <c r="F35" s="23" t="s">
        <v>227</v>
      </c>
      <c r="G35" s="23" t="s">
        <v>228</v>
      </c>
      <c r="H35" s="22">
        <v>438794.2</v>
      </c>
      <c r="I35" s="22">
        <v>438794.2</v>
      </c>
      <c r="J35" s="22">
        <v>109698.55</v>
      </c>
      <c r="K35" s="22"/>
      <c r="L35" s="22">
        <v>329095.65</v>
      </c>
      <c r="M35" s="22"/>
      <c r="N35" s="22"/>
      <c r="O35" s="22"/>
      <c r="P35" s="22"/>
      <c r="Q35" s="22"/>
      <c r="R35" s="22"/>
      <c r="S35" s="22"/>
      <c r="T35" s="22"/>
      <c r="U35" s="22"/>
      <c r="V35" s="22"/>
      <c r="W35" s="22"/>
    </row>
    <row r="36" ht="31.4" customHeight="1" spans="1:23">
      <c r="A36" s="112" t="s">
        <v>46</v>
      </c>
      <c r="B36" s="106" t="s">
        <v>203</v>
      </c>
      <c r="C36" s="23" t="s">
        <v>204</v>
      </c>
      <c r="D36" s="23" t="s">
        <v>70</v>
      </c>
      <c r="E36" s="23" t="s">
        <v>71</v>
      </c>
      <c r="F36" s="23" t="s">
        <v>198</v>
      </c>
      <c r="G36" s="23" t="s">
        <v>199</v>
      </c>
      <c r="H36" s="22">
        <v>176760</v>
      </c>
      <c r="I36" s="22">
        <v>176760</v>
      </c>
      <c r="J36" s="22">
        <v>44190</v>
      </c>
      <c r="K36" s="22"/>
      <c r="L36" s="22">
        <v>132570</v>
      </c>
      <c r="M36" s="22"/>
      <c r="N36" s="22"/>
      <c r="O36" s="22"/>
      <c r="P36" s="22"/>
      <c r="Q36" s="22"/>
      <c r="R36" s="22"/>
      <c r="S36" s="22"/>
      <c r="T36" s="22"/>
      <c r="U36" s="22"/>
      <c r="V36" s="22"/>
      <c r="W36" s="22"/>
    </row>
    <row r="37" ht="31.4" customHeight="1" spans="1:23">
      <c r="A37" s="112" t="s">
        <v>46</v>
      </c>
      <c r="B37" s="106" t="s">
        <v>203</v>
      </c>
      <c r="C37" s="23" t="s">
        <v>204</v>
      </c>
      <c r="D37" s="23" t="s">
        <v>70</v>
      </c>
      <c r="E37" s="23" t="s">
        <v>71</v>
      </c>
      <c r="F37" s="23" t="s">
        <v>229</v>
      </c>
      <c r="G37" s="23" t="s">
        <v>230</v>
      </c>
      <c r="H37" s="22">
        <v>353484.35</v>
      </c>
      <c r="I37" s="22">
        <v>353484.35</v>
      </c>
      <c r="J37" s="22"/>
      <c r="K37" s="22"/>
      <c r="L37" s="22">
        <v>353484.35</v>
      </c>
      <c r="M37" s="22"/>
      <c r="N37" s="22"/>
      <c r="O37" s="22"/>
      <c r="P37" s="22"/>
      <c r="Q37" s="22"/>
      <c r="R37" s="22"/>
      <c r="S37" s="22"/>
      <c r="T37" s="22"/>
      <c r="U37" s="22"/>
      <c r="V37" s="22"/>
      <c r="W37" s="22"/>
    </row>
    <row r="38" ht="31.4" customHeight="1" spans="1:23">
      <c r="A38" s="112" t="s">
        <v>46</v>
      </c>
      <c r="B38" s="106" t="s">
        <v>203</v>
      </c>
      <c r="C38" s="23" t="s">
        <v>204</v>
      </c>
      <c r="D38" s="23" t="s">
        <v>70</v>
      </c>
      <c r="E38" s="23" t="s">
        <v>71</v>
      </c>
      <c r="F38" s="23" t="s">
        <v>231</v>
      </c>
      <c r="G38" s="23" t="s">
        <v>232</v>
      </c>
      <c r="H38" s="22">
        <v>490450</v>
      </c>
      <c r="I38" s="22">
        <v>490450</v>
      </c>
      <c r="J38" s="22"/>
      <c r="K38" s="22"/>
      <c r="L38" s="22">
        <v>490450</v>
      </c>
      <c r="M38" s="22"/>
      <c r="N38" s="22"/>
      <c r="O38" s="22"/>
      <c r="P38" s="22"/>
      <c r="Q38" s="22"/>
      <c r="R38" s="22"/>
      <c r="S38" s="22"/>
      <c r="T38" s="22"/>
      <c r="U38" s="22"/>
      <c r="V38" s="22"/>
      <c r="W38" s="22"/>
    </row>
    <row r="39" ht="31.4" customHeight="1" spans="1:23">
      <c r="A39" s="112" t="s">
        <v>46</v>
      </c>
      <c r="B39" s="106" t="s">
        <v>203</v>
      </c>
      <c r="C39" s="23" t="s">
        <v>204</v>
      </c>
      <c r="D39" s="23" t="s">
        <v>96</v>
      </c>
      <c r="E39" s="23" t="s">
        <v>97</v>
      </c>
      <c r="F39" s="23" t="s">
        <v>229</v>
      </c>
      <c r="G39" s="23" t="s">
        <v>230</v>
      </c>
      <c r="H39" s="22">
        <v>123210</v>
      </c>
      <c r="I39" s="22">
        <v>123210</v>
      </c>
      <c r="J39" s="22">
        <v>30802.5</v>
      </c>
      <c r="K39" s="22"/>
      <c r="L39" s="22">
        <v>92407.5</v>
      </c>
      <c r="M39" s="22"/>
      <c r="N39" s="22"/>
      <c r="O39" s="22"/>
      <c r="P39" s="22"/>
      <c r="Q39" s="22"/>
      <c r="R39" s="22"/>
      <c r="S39" s="22"/>
      <c r="T39" s="22"/>
      <c r="U39" s="22"/>
      <c r="V39" s="22"/>
      <c r="W39" s="22"/>
    </row>
    <row r="40" ht="31.4" customHeight="1" spans="1:23">
      <c r="A40" s="112" t="s">
        <v>46</v>
      </c>
      <c r="B40" s="106" t="s">
        <v>233</v>
      </c>
      <c r="C40" s="23" t="s">
        <v>234</v>
      </c>
      <c r="D40" s="23" t="s">
        <v>70</v>
      </c>
      <c r="E40" s="23" t="s">
        <v>71</v>
      </c>
      <c r="F40" s="23" t="s">
        <v>174</v>
      </c>
      <c r="G40" s="23" t="s">
        <v>175</v>
      </c>
      <c r="H40" s="22">
        <v>4490514</v>
      </c>
      <c r="I40" s="22">
        <v>4490514</v>
      </c>
      <c r="J40" s="22">
        <v>1122628.5</v>
      </c>
      <c r="K40" s="22"/>
      <c r="L40" s="22">
        <v>3367885.5</v>
      </c>
      <c r="M40" s="22"/>
      <c r="N40" s="22"/>
      <c r="O40" s="22"/>
      <c r="P40" s="22"/>
      <c r="Q40" s="22"/>
      <c r="R40" s="22"/>
      <c r="S40" s="22"/>
      <c r="T40" s="22"/>
      <c r="U40" s="22"/>
      <c r="V40" s="22"/>
      <c r="W40" s="22"/>
    </row>
    <row r="41" ht="18.75" customHeight="1" spans="1:23">
      <c r="A41" s="30" t="s">
        <v>119</v>
      </c>
      <c r="B41" s="31"/>
      <c r="C41" s="31"/>
      <c r="D41" s="31"/>
      <c r="E41" s="31"/>
      <c r="F41" s="31"/>
      <c r="G41" s="32"/>
      <c r="H41" s="22">
        <v>40919076.36</v>
      </c>
      <c r="I41" s="22">
        <v>40919076.36</v>
      </c>
      <c r="J41" s="22">
        <v>9870868.9</v>
      </c>
      <c r="K41" s="22"/>
      <c r="L41" s="22">
        <v>31048207.46</v>
      </c>
      <c r="M41" s="22"/>
      <c r="N41" s="22"/>
      <c r="O41" s="22"/>
      <c r="P41" s="22"/>
      <c r="Q41" s="22"/>
      <c r="R41" s="22"/>
      <c r="S41" s="22"/>
      <c r="T41" s="22"/>
      <c r="U41" s="22"/>
      <c r="V41" s="22"/>
      <c r="W41" s="22"/>
    </row>
  </sheetData>
  <mergeCells count="30">
    <mergeCell ref="A2:W2"/>
    <mergeCell ref="A3:G3"/>
    <mergeCell ref="H4:W4"/>
    <mergeCell ref="I5:M5"/>
    <mergeCell ref="N5:P5"/>
    <mergeCell ref="R5:W5"/>
    <mergeCell ref="A41:G41"/>
    <mergeCell ref="A4:A7"/>
    <mergeCell ref="B4:B7"/>
    <mergeCell ref="C4:C7"/>
    <mergeCell ref="D4:D7"/>
    <mergeCell ref="E4:E7"/>
    <mergeCell ref="F4:F7"/>
    <mergeCell ref="G4:G7"/>
    <mergeCell ref="H5:H7"/>
    <mergeCell ref="I6:I7"/>
    <mergeCell ref="J6:J7"/>
    <mergeCell ref="K6:K7"/>
    <mergeCell ref="L6:L7"/>
    <mergeCell ref="M6:M7"/>
    <mergeCell ref="N6:N7"/>
    <mergeCell ref="O6:O7"/>
    <mergeCell ref="P6:P7"/>
    <mergeCell ref="Q5:Q7"/>
    <mergeCell ref="R6:R7"/>
    <mergeCell ref="S6:S7"/>
    <mergeCell ref="T6:T7"/>
    <mergeCell ref="U6:U7"/>
    <mergeCell ref="V6:V7"/>
    <mergeCell ref="W6:W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W90"/>
  <sheetViews>
    <sheetView showZeros="0" workbookViewId="0">
      <selection activeCell="A1" sqref="A1"/>
    </sheetView>
  </sheetViews>
  <sheetFormatPr defaultColWidth="9.13888888888889" defaultRowHeight="14.25" customHeight="1"/>
  <cols>
    <col min="1" max="1" width="14.5740740740741" customWidth="1"/>
    <col min="2" max="2" width="21.0277777777778" customWidth="1"/>
    <col min="3" max="3" width="31.3148148148148" customWidth="1"/>
    <col min="4" max="4" width="23.8518518518519" customWidth="1"/>
    <col min="5" max="5" width="15.6018518518519" customWidth="1"/>
    <col min="6" max="6" width="19.7407407407407" customWidth="1"/>
    <col min="7" max="7" width="14.8796296296296" customWidth="1"/>
    <col min="8" max="8" width="19.7407407407407" customWidth="1"/>
    <col min="9" max="16" width="14.1759259259259" customWidth="1"/>
    <col min="17" max="17" width="13.6018518518519" customWidth="1"/>
    <col min="18" max="23" width="15.1759259259259" customWidth="1"/>
  </cols>
  <sheetData>
    <row r="1" ht="13.5" customHeight="1" spans="5:23">
      <c r="E1" s="1"/>
      <c r="F1" s="1"/>
      <c r="G1" s="1"/>
      <c r="H1" s="1"/>
      <c r="U1" s="110"/>
      <c r="W1" s="53" t="s">
        <v>235</v>
      </c>
    </row>
    <row r="2" ht="27.75" customHeight="1" spans="1:23">
      <c r="A2" s="27" t="s">
        <v>236</v>
      </c>
      <c r="B2" s="27"/>
      <c r="C2" s="27"/>
      <c r="D2" s="27"/>
      <c r="E2" s="27"/>
      <c r="F2" s="27"/>
      <c r="G2" s="27"/>
      <c r="H2" s="27"/>
      <c r="I2" s="27"/>
      <c r="J2" s="27"/>
      <c r="K2" s="27"/>
      <c r="L2" s="27"/>
      <c r="M2" s="27"/>
      <c r="N2" s="27"/>
      <c r="O2" s="27"/>
      <c r="P2" s="27"/>
      <c r="Q2" s="27"/>
      <c r="R2" s="27"/>
      <c r="S2" s="27"/>
      <c r="T2" s="27"/>
      <c r="U2" s="27"/>
      <c r="V2" s="27"/>
      <c r="W2" s="27"/>
    </row>
    <row r="3" ht="13.5" customHeight="1" spans="1:23">
      <c r="A3" s="4" t="str">
        <f t="shared" ref="A3:B3" si="0">"单位名称："&amp;"云南省文化和旅游厅"</f>
        <v>单位名称：云南省文化和旅游厅</v>
      </c>
      <c r="B3" s="105" t="str">
        <f t="shared" si="0"/>
        <v>单位名称：云南省文化和旅游厅</v>
      </c>
      <c r="C3" s="105"/>
      <c r="D3" s="105"/>
      <c r="E3" s="105"/>
      <c r="F3" s="105"/>
      <c r="G3" s="105"/>
      <c r="H3" s="105"/>
      <c r="I3" s="105"/>
      <c r="J3" s="6"/>
      <c r="K3" s="6"/>
      <c r="L3" s="6"/>
      <c r="M3" s="6"/>
      <c r="N3" s="6"/>
      <c r="O3" s="6"/>
      <c r="P3" s="6"/>
      <c r="Q3" s="6"/>
      <c r="U3" s="110"/>
      <c r="W3" s="101" t="s">
        <v>144</v>
      </c>
    </row>
    <row r="4" ht="21.75" customHeight="1" spans="1:23">
      <c r="A4" s="8" t="s">
        <v>237</v>
      </c>
      <c r="B4" s="8" t="s">
        <v>154</v>
      </c>
      <c r="C4" s="8" t="s">
        <v>155</v>
      </c>
      <c r="D4" s="8" t="s">
        <v>238</v>
      </c>
      <c r="E4" s="9" t="s">
        <v>156</v>
      </c>
      <c r="F4" s="9" t="s">
        <v>157</v>
      </c>
      <c r="G4" s="9" t="s">
        <v>158</v>
      </c>
      <c r="H4" s="9" t="s">
        <v>159</v>
      </c>
      <c r="I4" s="60" t="s">
        <v>31</v>
      </c>
      <c r="J4" s="60" t="s">
        <v>239</v>
      </c>
      <c r="K4" s="60"/>
      <c r="L4" s="60"/>
      <c r="M4" s="60"/>
      <c r="N4" s="107" t="s">
        <v>161</v>
      </c>
      <c r="O4" s="107"/>
      <c r="P4" s="107"/>
      <c r="Q4" s="9" t="s">
        <v>37</v>
      </c>
      <c r="R4" s="10" t="s">
        <v>52</v>
      </c>
      <c r="S4" s="11"/>
      <c r="T4" s="11"/>
      <c r="U4" s="11"/>
      <c r="V4" s="11"/>
      <c r="W4" s="12"/>
    </row>
    <row r="5" ht="21.75" customHeight="1" spans="1:23">
      <c r="A5" s="13"/>
      <c r="B5" s="13"/>
      <c r="C5" s="13"/>
      <c r="D5" s="13"/>
      <c r="E5" s="14"/>
      <c r="F5" s="14"/>
      <c r="G5" s="14"/>
      <c r="H5" s="14"/>
      <c r="I5" s="60"/>
      <c r="J5" s="44" t="s">
        <v>34</v>
      </c>
      <c r="K5" s="44"/>
      <c r="L5" s="44" t="s">
        <v>35</v>
      </c>
      <c r="M5" s="44" t="s">
        <v>36</v>
      </c>
      <c r="N5" s="108" t="s">
        <v>34</v>
      </c>
      <c r="O5" s="108" t="s">
        <v>35</v>
      </c>
      <c r="P5" s="108" t="s">
        <v>36</v>
      </c>
      <c r="Q5" s="14"/>
      <c r="R5" s="9" t="s">
        <v>33</v>
      </c>
      <c r="S5" s="9" t="s">
        <v>44</v>
      </c>
      <c r="T5" s="9" t="s">
        <v>167</v>
      </c>
      <c r="U5" s="9" t="s">
        <v>40</v>
      </c>
      <c r="V5" s="9" t="s">
        <v>41</v>
      </c>
      <c r="W5" s="9" t="s">
        <v>42</v>
      </c>
    </row>
    <row r="6" ht="40.5" customHeight="1" spans="1:23">
      <c r="A6" s="16"/>
      <c r="B6" s="16"/>
      <c r="C6" s="16"/>
      <c r="D6" s="16"/>
      <c r="E6" s="17"/>
      <c r="F6" s="17"/>
      <c r="G6" s="17"/>
      <c r="H6" s="17"/>
      <c r="I6" s="60"/>
      <c r="J6" s="44" t="s">
        <v>33</v>
      </c>
      <c r="K6" s="44" t="s">
        <v>240</v>
      </c>
      <c r="L6" s="44"/>
      <c r="M6" s="44"/>
      <c r="N6" s="17"/>
      <c r="O6" s="17"/>
      <c r="P6" s="17"/>
      <c r="Q6" s="17"/>
      <c r="R6" s="17"/>
      <c r="S6" s="17"/>
      <c r="T6" s="17"/>
      <c r="U6" s="18"/>
      <c r="V6" s="17"/>
      <c r="W6" s="17"/>
    </row>
    <row r="7" ht="15" customHeight="1" spans="1:23">
      <c r="A7" s="19">
        <v>1</v>
      </c>
      <c r="B7" s="19">
        <v>2</v>
      </c>
      <c r="C7" s="19">
        <v>3</v>
      </c>
      <c r="D7" s="19">
        <v>4</v>
      </c>
      <c r="E7" s="19">
        <v>5</v>
      </c>
      <c r="F7" s="19">
        <v>6</v>
      </c>
      <c r="G7" s="19">
        <v>7</v>
      </c>
      <c r="H7" s="19">
        <v>8</v>
      </c>
      <c r="I7" s="19">
        <v>9</v>
      </c>
      <c r="J7" s="19">
        <v>10</v>
      </c>
      <c r="K7" s="19">
        <v>11</v>
      </c>
      <c r="L7" s="19">
        <v>12</v>
      </c>
      <c r="M7" s="19">
        <v>13</v>
      </c>
      <c r="N7" s="19">
        <v>14</v>
      </c>
      <c r="O7" s="19">
        <v>15</v>
      </c>
      <c r="P7" s="19">
        <v>16</v>
      </c>
      <c r="Q7" s="19">
        <v>17</v>
      </c>
      <c r="R7" s="19">
        <v>18</v>
      </c>
      <c r="S7" s="19">
        <v>19</v>
      </c>
      <c r="T7" s="19">
        <v>20</v>
      </c>
      <c r="U7" s="19">
        <v>21</v>
      </c>
      <c r="V7" s="19">
        <v>22</v>
      </c>
      <c r="W7" s="19">
        <v>23</v>
      </c>
    </row>
    <row r="8" ht="32.9" customHeight="1" spans="1:23">
      <c r="A8" s="23"/>
      <c r="B8" s="106"/>
      <c r="C8" s="23" t="s">
        <v>241</v>
      </c>
      <c r="D8" s="23"/>
      <c r="E8" s="23"/>
      <c r="F8" s="23"/>
      <c r="G8" s="23"/>
      <c r="H8" s="23"/>
      <c r="I8" s="109">
        <v>120000</v>
      </c>
      <c r="J8" s="109"/>
      <c r="K8" s="109"/>
      <c r="L8" s="109"/>
      <c r="M8" s="109"/>
      <c r="N8" s="109">
        <v>120000</v>
      </c>
      <c r="O8" s="109"/>
      <c r="P8" s="109"/>
      <c r="Q8" s="109"/>
      <c r="R8" s="109"/>
      <c r="S8" s="109"/>
      <c r="T8" s="109"/>
      <c r="U8" s="87"/>
      <c r="V8" s="109"/>
      <c r="W8" s="109"/>
    </row>
    <row r="9" ht="32.9" customHeight="1" spans="1:23">
      <c r="A9" s="23" t="s">
        <v>242</v>
      </c>
      <c r="B9" s="106" t="s">
        <v>243</v>
      </c>
      <c r="C9" s="23" t="s">
        <v>241</v>
      </c>
      <c r="D9" s="23" t="s">
        <v>46</v>
      </c>
      <c r="E9" s="23" t="s">
        <v>84</v>
      </c>
      <c r="F9" s="23" t="s">
        <v>85</v>
      </c>
      <c r="G9" s="23" t="s">
        <v>244</v>
      </c>
      <c r="H9" s="23" t="s">
        <v>245</v>
      </c>
      <c r="I9" s="109">
        <v>120000</v>
      </c>
      <c r="J9" s="109"/>
      <c r="K9" s="109"/>
      <c r="L9" s="109"/>
      <c r="M9" s="109"/>
      <c r="N9" s="109">
        <v>120000</v>
      </c>
      <c r="O9" s="109"/>
      <c r="P9" s="109"/>
      <c r="Q9" s="109"/>
      <c r="R9" s="109"/>
      <c r="S9" s="109"/>
      <c r="T9" s="109"/>
      <c r="U9" s="87"/>
      <c r="V9" s="109"/>
      <c r="W9" s="109"/>
    </row>
    <row r="10" ht="32.9" customHeight="1" spans="1:23">
      <c r="A10" s="23"/>
      <c r="B10" s="23"/>
      <c r="C10" s="23" t="s">
        <v>246</v>
      </c>
      <c r="D10" s="23"/>
      <c r="E10" s="23"/>
      <c r="F10" s="23"/>
      <c r="G10" s="23"/>
      <c r="H10" s="23"/>
      <c r="I10" s="109">
        <v>52371.2</v>
      </c>
      <c r="J10" s="109"/>
      <c r="K10" s="109"/>
      <c r="L10" s="109"/>
      <c r="M10" s="109"/>
      <c r="N10" s="109">
        <v>52371.2</v>
      </c>
      <c r="O10" s="109"/>
      <c r="P10" s="109"/>
      <c r="Q10" s="109"/>
      <c r="R10" s="109"/>
      <c r="S10" s="109"/>
      <c r="T10" s="109"/>
      <c r="U10" s="87"/>
      <c r="V10" s="109"/>
      <c r="W10" s="109"/>
    </row>
    <row r="11" ht="32.9" customHeight="1" spans="1:23">
      <c r="A11" s="23" t="s">
        <v>247</v>
      </c>
      <c r="B11" s="106" t="s">
        <v>248</v>
      </c>
      <c r="C11" s="23" t="s">
        <v>246</v>
      </c>
      <c r="D11" s="23" t="s">
        <v>46</v>
      </c>
      <c r="E11" s="23" t="s">
        <v>84</v>
      </c>
      <c r="F11" s="23" t="s">
        <v>85</v>
      </c>
      <c r="G11" s="23" t="s">
        <v>207</v>
      </c>
      <c r="H11" s="23" t="s">
        <v>208</v>
      </c>
      <c r="I11" s="109">
        <v>1205</v>
      </c>
      <c r="J11" s="109"/>
      <c r="K11" s="109"/>
      <c r="L11" s="109"/>
      <c r="M11" s="109"/>
      <c r="N11" s="109">
        <v>1205</v>
      </c>
      <c r="O11" s="109"/>
      <c r="P11" s="109"/>
      <c r="Q11" s="109"/>
      <c r="R11" s="109"/>
      <c r="S11" s="109"/>
      <c r="T11" s="109"/>
      <c r="U11" s="87"/>
      <c r="V11" s="109"/>
      <c r="W11" s="109"/>
    </row>
    <row r="12" ht="32.9" customHeight="1" spans="1:23">
      <c r="A12" s="23" t="s">
        <v>247</v>
      </c>
      <c r="B12" s="106" t="s">
        <v>248</v>
      </c>
      <c r="C12" s="23" t="s">
        <v>246</v>
      </c>
      <c r="D12" s="23" t="s">
        <v>46</v>
      </c>
      <c r="E12" s="23" t="s">
        <v>84</v>
      </c>
      <c r="F12" s="23" t="s">
        <v>85</v>
      </c>
      <c r="G12" s="23" t="s">
        <v>217</v>
      </c>
      <c r="H12" s="23" t="s">
        <v>218</v>
      </c>
      <c r="I12" s="109">
        <v>24466.2</v>
      </c>
      <c r="J12" s="109"/>
      <c r="K12" s="109"/>
      <c r="L12" s="109"/>
      <c r="M12" s="109"/>
      <c r="N12" s="109">
        <v>24466.2</v>
      </c>
      <c r="O12" s="109"/>
      <c r="P12" s="109"/>
      <c r="Q12" s="109"/>
      <c r="R12" s="109"/>
      <c r="S12" s="109"/>
      <c r="T12" s="109"/>
      <c r="U12" s="87"/>
      <c r="V12" s="109"/>
      <c r="W12" s="109"/>
    </row>
    <row r="13" ht="32.9" customHeight="1" spans="1:23">
      <c r="A13" s="23" t="s">
        <v>247</v>
      </c>
      <c r="B13" s="106" t="s">
        <v>248</v>
      </c>
      <c r="C13" s="23" t="s">
        <v>246</v>
      </c>
      <c r="D13" s="23" t="s">
        <v>46</v>
      </c>
      <c r="E13" s="23" t="s">
        <v>84</v>
      </c>
      <c r="F13" s="23" t="s">
        <v>85</v>
      </c>
      <c r="G13" s="23" t="s">
        <v>225</v>
      </c>
      <c r="H13" s="23" t="s">
        <v>226</v>
      </c>
      <c r="I13" s="109">
        <v>26700</v>
      </c>
      <c r="J13" s="109"/>
      <c r="K13" s="109"/>
      <c r="L13" s="109"/>
      <c r="M13" s="109"/>
      <c r="N13" s="109">
        <v>26700</v>
      </c>
      <c r="O13" s="109"/>
      <c r="P13" s="109"/>
      <c r="Q13" s="109"/>
      <c r="R13" s="109"/>
      <c r="S13" s="109"/>
      <c r="T13" s="109"/>
      <c r="U13" s="87"/>
      <c r="V13" s="109"/>
      <c r="W13" s="109"/>
    </row>
    <row r="14" ht="32.9" customHeight="1" spans="1:23">
      <c r="A14" s="23"/>
      <c r="B14" s="23"/>
      <c r="C14" s="23" t="s">
        <v>249</v>
      </c>
      <c r="D14" s="23"/>
      <c r="E14" s="23"/>
      <c r="F14" s="23"/>
      <c r="G14" s="23"/>
      <c r="H14" s="23"/>
      <c r="I14" s="109">
        <v>434790</v>
      </c>
      <c r="J14" s="109"/>
      <c r="K14" s="109"/>
      <c r="L14" s="109"/>
      <c r="M14" s="109"/>
      <c r="N14" s="109">
        <v>434790</v>
      </c>
      <c r="O14" s="109"/>
      <c r="P14" s="109"/>
      <c r="Q14" s="109"/>
      <c r="R14" s="109"/>
      <c r="S14" s="109"/>
      <c r="T14" s="109"/>
      <c r="U14" s="87"/>
      <c r="V14" s="109"/>
      <c r="W14" s="109"/>
    </row>
    <row r="15" ht="32.9" customHeight="1" spans="1:23">
      <c r="A15" s="23" t="s">
        <v>247</v>
      </c>
      <c r="B15" s="106" t="s">
        <v>250</v>
      </c>
      <c r="C15" s="23" t="s">
        <v>249</v>
      </c>
      <c r="D15" s="23" t="s">
        <v>46</v>
      </c>
      <c r="E15" s="23" t="s">
        <v>64</v>
      </c>
      <c r="F15" s="23" t="s">
        <v>65</v>
      </c>
      <c r="G15" s="23" t="s">
        <v>207</v>
      </c>
      <c r="H15" s="23" t="s">
        <v>208</v>
      </c>
      <c r="I15" s="109">
        <v>50000</v>
      </c>
      <c r="J15" s="109"/>
      <c r="K15" s="109"/>
      <c r="L15" s="109"/>
      <c r="M15" s="109"/>
      <c r="N15" s="109">
        <v>50000</v>
      </c>
      <c r="O15" s="109"/>
      <c r="P15" s="109"/>
      <c r="Q15" s="109"/>
      <c r="R15" s="109"/>
      <c r="S15" s="109"/>
      <c r="T15" s="109"/>
      <c r="U15" s="87"/>
      <c r="V15" s="109"/>
      <c r="W15" s="109"/>
    </row>
    <row r="16" ht="32.9" customHeight="1" spans="1:23">
      <c r="A16" s="23" t="s">
        <v>247</v>
      </c>
      <c r="B16" s="106" t="s">
        <v>250</v>
      </c>
      <c r="C16" s="23" t="s">
        <v>249</v>
      </c>
      <c r="D16" s="23" t="s">
        <v>46</v>
      </c>
      <c r="E16" s="23" t="s">
        <v>64</v>
      </c>
      <c r="F16" s="23" t="s">
        <v>65</v>
      </c>
      <c r="G16" s="23" t="s">
        <v>217</v>
      </c>
      <c r="H16" s="23" t="s">
        <v>218</v>
      </c>
      <c r="I16" s="109">
        <v>100000</v>
      </c>
      <c r="J16" s="109"/>
      <c r="K16" s="109"/>
      <c r="L16" s="109"/>
      <c r="M16" s="109"/>
      <c r="N16" s="109">
        <v>100000</v>
      </c>
      <c r="O16" s="109"/>
      <c r="P16" s="109"/>
      <c r="Q16" s="109"/>
      <c r="R16" s="109"/>
      <c r="S16" s="109"/>
      <c r="T16" s="109"/>
      <c r="U16" s="87"/>
      <c r="V16" s="109"/>
      <c r="W16" s="109"/>
    </row>
    <row r="17" ht="32.9" customHeight="1" spans="1:23">
      <c r="A17" s="23" t="s">
        <v>247</v>
      </c>
      <c r="B17" s="106" t="s">
        <v>250</v>
      </c>
      <c r="C17" s="23" t="s">
        <v>249</v>
      </c>
      <c r="D17" s="23" t="s">
        <v>46</v>
      </c>
      <c r="E17" s="23" t="s">
        <v>64</v>
      </c>
      <c r="F17" s="23" t="s">
        <v>65</v>
      </c>
      <c r="G17" s="23" t="s">
        <v>244</v>
      </c>
      <c r="H17" s="23" t="s">
        <v>245</v>
      </c>
      <c r="I17" s="109">
        <v>284790</v>
      </c>
      <c r="J17" s="109"/>
      <c r="K17" s="109"/>
      <c r="L17" s="109"/>
      <c r="M17" s="109"/>
      <c r="N17" s="109">
        <v>284790</v>
      </c>
      <c r="O17" s="109"/>
      <c r="P17" s="109"/>
      <c r="Q17" s="109"/>
      <c r="R17" s="109"/>
      <c r="S17" s="109"/>
      <c r="T17" s="109"/>
      <c r="U17" s="87"/>
      <c r="V17" s="109"/>
      <c r="W17" s="109"/>
    </row>
    <row r="18" ht="32.9" customHeight="1" spans="1:23">
      <c r="A18" s="23"/>
      <c r="B18" s="23"/>
      <c r="C18" s="23" t="s">
        <v>251</v>
      </c>
      <c r="D18" s="23"/>
      <c r="E18" s="23"/>
      <c r="F18" s="23"/>
      <c r="G18" s="23"/>
      <c r="H18" s="23"/>
      <c r="I18" s="109">
        <v>4200000</v>
      </c>
      <c r="J18" s="109">
        <v>4200000</v>
      </c>
      <c r="K18" s="109"/>
      <c r="L18" s="109"/>
      <c r="M18" s="109"/>
      <c r="N18" s="109"/>
      <c r="O18" s="109"/>
      <c r="P18" s="109"/>
      <c r="Q18" s="109"/>
      <c r="R18" s="109"/>
      <c r="S18" s="109"/>
      <c r="T18" s="109"/>
      <c r="U18" s="87"/>
      <c r="V18" s="109"/>
      <c r="W18" s="109"/>
    </row>
    <row r="19" ht="32.9" customHeight="1" spans="1:23">
      <c r="A19" s="23" t="s">
        <v>252</v>
      </c>
      <c r="B19" s="106" t="s">
        <v>253</v>
      </c>
      <c r="C19" s="23" t="s">
        <v>251</v>
      </c>
      <c r="D19" s="23" t="s">
        <v>46</v>
      </c>
      <c r="E19" s="23" t="s">
        <v>70</v>
      </c>
      <c r="F19" s="23" t="s">
        <v>71</v>
      </c>
      <c r="G19" s="23" t="s">
        <v>217</v>
      </c>
      <c r="H19" s="23" t="s">
        <v>218</v>
      </c>
      <c r="I19" s="109">
        <v>1785000</v>
      </c>
      <c r="J19" s="109">
        <v>1785000</v>
      </c>
      <c r="K19" s="109"/>
      <c r="L19" s="109"/>
      <c r="M19" s="109"/>
      <c r="N19" s="109"/>
      <c r="O19" s="109"/>
      <c r="P19" s="109"/>
      <c r="Q19" s="109"/>
      <c r="R19" s="109"/>
      <c r="S19" s="109"/>
      <c r="T19" s="109"/>
      <c r="U19" s="87"/>
      <c r="V19" s="109"/>
      <c r="W19" s="109"/>
    </row>
    <row r="20" ht="32.9" customHeight="1" spans="1:23">
      <c r="A20" s="23" t="s">
        <v>252</v>
      </c>
      <c r="B20" s="106" t="s">
        <v>253</v>
      </c>
      <c r="C20" s="23" t="s">
        <v>251</v>
      </c>
      <c r="D20" s="23" t="s">
        <v>46</v>
      </c>
      <c r="E20" s="23" t="s">
        <v>70</v>
      </c>
      <c r="F20" s="23" t="s">
        <v>71</v>
      </c>
      <c r="G20" s="23" t="s">
        <v>225</v>
      </c>
      <c r="H20" s="23" t="s">
        <v>226</v>
      </c>
      <c r="I20" s="109">
        <v>80000</v>
      </c>
      <c r="J20" s="109">
        <v>80000</v>
      </c>
      <c r="K20" s="109"/>
      <c r="L20" s="109"/>
      <c r="M20" s="109"/>
      <c r="N20" s="109"/>
      <c r="O20" s="109"/>
      <c r="P20" s="109"/>
      <c r="Q20" s="109"/>
      <c r="R20" s="109"/>
      <c r="S20" s="109"/>
      <c r="T20" s="109"/>
      <c r="U20" s="87"/>
      <c r="V20" s="109"/>
      <c r="W20" s="109"/>
    </row>
    <row r="21" ht="32.9" customHeight="1" spans="1:23">
      <c r="A21" s="23" t="s">
        <v>252</v>
      </c>
      <c r="B21" s="106" t="s">
        <v>253</v>
      </c>
      <c r="C21" s="23" t="s">
        <v>251</v>
      </c>
      <c r="D21" s="23" t="s">
        <v>46</v>
      </c>
      <c r="E21" s="23" t="s">
        <v>70</v>
      </c>
      <c r="F21" s="23" t="s">
        <v>71</v>
      </c>
      <c r="G21" s="23" t="s">
        <v>244</v>
      </c>
      <c r="H21" s="23" t="s">
        <v>245</v>
      </c>
      <c r="I21" s="109">
        <v>1915000</v>
      </c>
      <c r="J21" s="109">
        <v>1915000</v>
      </c>
      <c r="K21" s="109"/>
      <c r="L21" s="109"/>
      <c r="M21" s="109"/>
      <c r="N21" s="109"/>
      <c r="O21" s="109"/>
      <c r="P21" s="109"/>
      <c r="Q21" s="109"/>
      <c r="R21" s="109"/>
      <c r="S21" s="109"/>
      <c r="T21" s="109"/>
      <c r="U21" s="87"/>
      <c r="V21" s="109"/>
      <c r="W21" s="109"/>
    </row>
    <row r="22" ht="32.9" customHeight="1" spans="1:23">
      <c r="A22" s="23" t="s">
        <v>252</v>
      </c>
      <c r="B22" s="106" t="s">
        <v>253</v>
      </c>
      <c r="C22" s="23" t="s">
        <v>251</v>
      </c>
      <c r="D22" s="23" t="s">
        <v>46</v>
      </c>
      <c r="E22" s="23" t="s">
        <v>70</v>
      </c>
      <c r="F22" s="23" t="s">
        <v>71</v>
      </c>
      <c r="G22" s="23" t="s">
        <v>229</v>
      </c>
      <c r="H22" s="23" t="s">
        <v>230</v>
      </c>
      <c r="I22" s="109">
        <v>420000</v>
      </c>
      <c r="J22" s="109">
        <v>420000</v>
      </c>
      <c r="K22" s="109"/>
      <c r="L22" s="109"/>
      <c r="M22" s="109"/>
      <c r="N22" s="109"/>
      <c r="O22" s="109"/>
      <c r="P22" s="109"/>
      <c r="Q22" s="109"/>
      <c r="R22" s="109"/>
      <c r="S22" s="109"/>
      <c r="T22" s="109"/>
      <c r="U22" s="87"/>
      <c r="V22" s="109"/>
      <c r="W22" s="109"/>
    </row>
    <row r="23" ht="32.9" customHeight="1" spans="1:23">
      <c r="A23" s="23"/>
      <c r="B23" s="23"/>
      <c r="C23" s="23" t="s">
        <v>254</v>
      </c>
      <c r="D23" s="23"/>
      <c r="E23" s="23"/>
      <c r="F23" s="23"/>
      <c r="G23" s="23"/>
      <c r="H23" s="23"/>
      <c r="I23" s="109">
        <v>2656400</v>
      </c>
      <c r="J23" s="109">
        <v>2656400</v>
      </c>
      <c r="K23" s="109">
        <v>2656400</v>
      </c>
      <c r="L23" s="109"/>
      <c r="M23" s="109"/>
      <c r="N23" s="109"/>
      <c r="O23" s="109"/>
      <c r="P23" s="109"/>
      <c r="Q23" s="109"/>
      <c r="R23" s="109"/>
      <c r="S23" s="109"/>
      <c r="T23" s="109"/>
      <c r="U23" s="87"/>
      <c r="V23" s="109"/>
      <c r="W23" s="109"/>
    </row>
    <row r="24" ht="32.9" customHeight="1" spans="1:23">
      <c r="A24" s="23" t="s">
        <v>242</v>
      </c>
      <c r="B24" s="106" t="s">
        <v>255</v>
      </c>
      <c r="C24" s="23" t="s">
        <v>254</v>
      </c>
      <c r="D24" s="23" t="s">
        <v>46</v>
      </c>
      <c r="E24" s="23" t="s">
        <v>84</v>
      </c>
      <c r="F24" s="23" t="s">
        <v>85</v>
      </c>
      <c r="G24" s="23" t="s">
        <v>217</v>
      </c>
      <c r="H24" s="23" t="s">
        <v>218</v>
      </c>
      <c r="I24" s="109">
        <v>70400</v>
      </c>
      <c r="J24" s="109">
        <v>70400</v>
      </c>
      <c r="K24" s="109">
        <v>70400</v>
      </c>
      <c r="L24" s="109"/>
      <c r="M24" s="109"/>
      <c r="N24" s="109"/>
      <c r="O24" s="109"/>
      <c r="P24" s="109"/>
      <c r="Q24" s="109"/>
      <c r="R24" s="109"/>
      <c r="S24" s="109"/>
      <c r="T24" s="109"/>
      <c r="U24" s="87"/>
      <c r="V24" s="109"/>
      <c r="W24" s="109"/>
    </row>
    <row r="25" ht="32.9" customHeight="1" spans="1:23">
      <c r="A25" s="23" t="s">
        <v>242</v>
      </c>
      <c r="B25" s="106" t="s">
        <v>255</v>
      </c>
      <c r="C25" s="23" t="s">
        <v>254</v>
      </c>
      <c r="D25" s="23" t="s">
        <v>46</v>
      </c>
      <c r="E25" s="23" t="s">
        <v>84</v>
      </c>
      <c r="F25" s="23" t="s">
        <v>85</v>
      </c>
      <c r="G25" s="23" t="s">
        <v>223</v>
      </c>
      <c r="H25" s="23" t="s">
        <v>224</v>
      </c>
      <c r="I25" s="109">
        <v>75200</v>
      </c>
      <c r="J25" s="109">
        <v>75200</v>
      </c>
      <c r="K25" s="109">
        <v>75200</v>
      </c>
      <c r="L25" s="109"/>
      <c r="M25" s="109"/>
      <c r="N25" s="109"/>
      <c r="O25" s="109"/>
      <c r="P25" s="109"/>
      <c r="Q25" s="109"/>
      <c r="R25" s="109"/>
      <c r="S25" s="109"/>
      <c r="T25" s="109"/>
      <c r="U25" s="87"/>
      <c r="V25" s="109"/>
      <c r="W25" s="109"/>
    </row>
    <row r="26" ht="32.9" customHeight="1" spans="1:23">
      <c r="A26" s="23" t="s">
        <v>242</v>
      </c>
      <c r="B26" s="106" t="s">
        <v>255</v>
      </c>
      <c r="C26" s="23" t="s">
        <v>254</v>
      </c>
      <c r="D26" s="23" t="s">
        <v>46</v>
      </c>
      <c r="E26" s="23" t="s">
        <v>84</v>
      </c>
      <c r="F26" s="23" t="s">
        <v>85</v>
      </c>
      <c r="G26" s="23" t="s">
        <v>225</v>
      </c>
      <c r="H26" s="23" t="s">
        <v>226</v>
      </c>
      <c r="I26" s="109">
        <v>301200</v>
      </c>
      <c r="J26" s="109">
        <v>301200</v>
      </c>
      <c r="K26" s="109">
        <v>301200</v>
      </c>
      <c r="L26" s="109"/>
      <c r="M26" s="109"/>
      <c r="N26" s="109"/>
      <c r="O26" s="109"/>
      <c r="P26" s="109"/>
      <c r="Q26" s="109"/>
      <c r="R26" s="109"/>
      <c r="S26" s="109"/>
      <c r="T26" s="109"/>
      <c r="U26" s="87"/>
      <c r="V26" s="109"/>
      <c r="W26" s="109"/>
    </row>
    <row r="27" ht="32.9" customHeight="1" spans="1:23">
      <c r="A27" s="23" t="s">
        <v>242</v>
      </c>
      <c r="B27" s="106" t="s">
        <v>255</v>
      </c>
      <c r="C27" s="23" t="s">
        <v>254</v>
      </c>
      <c r="D27" s="23" t="s">
        <v>46</v>
      </c>
      <c r="E27" s="23" t="s">
        <v>84</v>
      </c>
      <c r="F27" s="23" t="s">
        <v>85</v>
      </c>
      <c r="G27" s="23" t="s">
        <v>244</v>
      </c>
      <c r="H27" s="23" t="s">
        <v>245</v>
      </c>
      <c r="I27" s="109">
        <v>2209600</v>
      </c>
      <c r="J27" s="109">
        <v>2209600</v>
      </c>
      <c r="K27" s="109">
        <v>2209600</v>
      </c>
      <c r="L27" s="109"/>
      <c r="M27" s="109"/>
      <c r="N27" s="109"/>
      <c r="O27" s="109"/>
      <c r="P27" s="109"/>
      <c r="Q27" s="109"/>
      <c r="R27" s="109"/>
      <c r="S27" s="109"/>
      <c r="T27" s="109"/>
      <c r="U27" s="87"/>
      <c r="V27" s="109"/>
      <c r="W27" s="109"/>
    </row>
    <row r="28" ht="32.9" customHeight="1" spans="1:23">
      <c r="A28" s="23"/>
      <c r="B28" s="23"/>
      <c r="C28" s="23" t="s">
        <v>256</v>
      </c>
      <c r="D28" s="23"/>
      <c r="E28" s="23"/>
      <c r="F28" s="23"/>
      <c r="G28" s="23"/>
      <c r="H28" s="23"/>
      <c r="I28" s="109">
        <v>2500000</v>
      </c>
      <c r="J28" s="109">
        <v>2200000</v>
      </c>
      <c r="K28" s="109">
        <v>2200000</v>
      </c>
      <c r="L28" s="109"/>
      <c r="M28" s="109"/>
      <c r="N28" s="109">
        <v>300000</v>
      </c>
      <c r="O28" s="109"/>
      <c r="P28" s="109"/>
      <c r="Q28" s="109"/>
      <c r="R28" s="109"/>
      <c r="S28" s="109"/>
      <c r="T28" s="109"/>
      <c r="U28" s="87"/>
      <c r="V28" s="109"/>
      <c r="W28" s="109"/>
    </row>
    <row r="29" ht="32.9" customHeight="1" spans="1:23">
      <c r="A29" s="23" t="s">
        <v>242</v>
      </c>
      <c r="B29" s="106" t="s">
        <v>257</v>
      </c>
      <c r="C29" s="23" t="s">
        <v>256</v>
      </c>
      <c r="D29" s="23" t="s">
        <v>46</v>
      </c>
      <c r="E29" s="23" t="s">
        <v>78</v>
      </c>
      <c r="F29" s="23" t="s">
        <v>79</v>
      </c>
      <c r="G29" s="23" t="s">
        <v>207</v>
      </c>
      <c r="H29" s="23" t="s">
        <v>208</v>
      </c>
      <c r="I29" s="109">
        <v>14850</v>
      </c>
      <c r="J29" s="109">
        <v>3600</v>
      </c>
      <c r="K29" s="109">
        <v>3600</v>
      </c>
      <c r="L29" s="109"/>
      <c r="M29" s="109"/>
      <c r="N29" s="109">
        <v>11250</v>
      </c>
      <c r="O29" s="109"/>
      <c r="P29" s="109"/>
      <c r="Q29" s="109"/>
      <c r="R29" s="109"/>
      <c r="S29" s="109"/>
      <c r="T29" s="109"/>
      <c r="U29" s="87"/>
      <c r="V29" s="109"/>
      <c r="W29" s="109"/>
    </row>
    <row r="30" ht="32.9" customHeight="1" spans="1:23">
      <c r="A30" s="23" t="s">
        <v>242</v>
      </c>
      <c r="B30" s="106" t="s">
        <v>257</v>
      </c>
      <c r="C30" s="23" t="s">
        <v>256</v>
      </c>
      <c r="D30" s="23" t="s">
        <v>46</v>
      </c>
      <c r="E30" s="23" t="s">
        <v>78</v>
      </c>
      <c r="F30" s="23" t="s">
        <v>79</v>
      </c>
      <c r="G30" s="23" t="s">
        <v>217</v>
      </c>
      <c r="H30" s="23" t="s">
        <v>218</v>
      </c>
      <c r="I30" s="109">
        <v>505150</v>
      </c>
      <c r="J30" s="109">
        <v>459200</v>
      </c>
      <c r="K30" s="109">
        <v>459200</v>
      </c>
      <c r="L30" s="109"/>
      <c r="M30" s="109"/>
      <c r="N30" s="109">
        <v>45950</v>
      </c>
      <c r="O30" s="109"/>
      <c r="P30" s="109"/>
      <c r="Q30" s="109"/>
      <c r="R30" s="109"/>
      <c r="S30" s="109"/>
      <c r="T30" s="109"/>
      <c r="U30" s="87"/>
      <c r="V30" s="109"/>
      <c r="W30" s="109"/>
    </row>
    <row r="31" ht="32.9" customHeight="1" spans="1:23">
      <c r="A31" s="23" t="s">
        <v>242</v>
      </c>
      <c r="B31" s="106" t="s">
        <v>257</v>
      </c>
      <c r="C31" s="23" t="s">
        <v>256</v>
      </c>
      <c r="D31" s="23" t="s">
        <v>46</v>
      </c>
      <c r="E31" s="23" t="s">
        <v>78</v>
      </c>
      <c r="F31" s="23" t="s">
        <v>79</v>
      </c>
      <c r="G31" s="23" t="s">
        <v>258</v>
      </c>
      <c r="H31" s="23" t="s">
        <v>259</v>
      </c>
      <c r="I31" s="109">
        <v>119000</v>
      </c>
      <c r="J31" s="109">
        <v>47000</v>
      </c>
      <c r="K31" s="109">
        <v>47000</v>
      </c>
      <c r="L31" s="109"/>
      <c r="M31" s="109"/>
      <c r="N31" s="109">
        <v>72000</v>
      </c>
      <c r="O31" s="109"/>
      <c r="P31" s="109"/>
      <c r="Q31" s="109"/>
      <c r="R31" s="109"/>
      <c r="S31" s="109"/>
      <c r="T31" s="109"/>
      <c r="U31" s="87"/>
      <c r="V31" s="109"/>
      <c r="W31" s="109"/>
    </row>
    <row r="32" ht="32.9" customHeight="1" spans="1:23">
      <c r="A32" s="23" t="s">
        <v>242</v>
      </c>
      <c r="B32" s="106" t="s">
        <v>257</v>
      </c>
      <c r="C32" s="23" t="s">
        <v>256</v>
      </c>
      <c r="D32" s="23" t="s">
        <v>46</v>
      </c>
      <c r="E32" s="23" t="s">
        <v>78</v>
      </c>
      <c r="F32" s="23" t="s">
        <v>79</v>
      </c>
      <c r="G32" s="23" t="s">
        <v>225</v>
      </c>
      <c r="H32" s="23" t="s">
        <v>226</v>
      </c>
      <c r="I32" s="109">
        <v>202400</v>
      </c>
      <c r="J32" s="109">
        <v>140200</v>
      </c>
      <c r="K32" s="109">
        <v>140200</v>
      </c>
      <c r="L32" s="109"/>
      <c r="M32" s="109"/>
      <c r="N32" s="109">
        <v>62200</v>
      </c>
      <c r="O32" s="109"/>
      <c r="P32" s="109"/>
      <c r="Q32" s="109"/>
      <c r="R32" s="109"/>
      <c r="S32" s="109"/>
      <c r="T32" s="109"/>
      <c r="U32" s="87"/>
      <c r="V32" s="109"/>
      <c r="W32" s="109"/>
    </row>
    <row r="33" ht="32.9" customHeight="1" spans="1:23">
      <c r="A33" s="23" t="s">
        <v>242</v>
      </c>
      <c r="B33" s="106" t="s">
        <v>257</v>
      </c>
      <c r="C33" s="23" t="s">
        <v>256</v>
      </c>
      <c r="D33" s="23" t="s">
        <v>46</v>
      </c>
      <c r="E33" s="23" t="s">
        <v>78</v>
      </c>
      <c r="F33" s="23" t="s">
        <v>79</v>
      </c>
      <c r="G33" s="23" t="s">
        <v>244</v>
      </c>
      <c r="H33" s="23" t="s">
        <v>245</v>
      </c>
      <c r="I33" s="109">
        <v>1574600</v>
      </c>
      <c r="J33" s="109">
        <v>1550000</v>
      </c>
      <c r="K33" s="109">
        <v>1550000</v>
      </c>
      <c r="L33" s="109"/>
      <c r="M33" s="109"/>
      <c r="N33" s="109">
        <v>24600</v>
      </c>
      <c r="O33" s="109"/>
      <c r="P33" s="109"/>
      <c r="Q33" s="109"/>
      <c r="R33" s="109"/>
      <c r="S33" s="109"/>
      <c r="T33" s="109"/>
      <c r="U33" s="87"/>
      <c r="V33" s="109"/>
      <c r="W33" s="109"/>
    </row>
    <row r="34" ht="32.9" customHeight="1" spans="1:23">
      <c r="A34" s="23" t="s">
        <v>242</v>
      </c>
      <c r="B34" s="106" t="s">
        <v>257</v>
      </c>
      <c r="C34" s="23" t="s">
        <v>256</v>
      </c>
      <c r="D34" s="23" t="s">
        <v>46</v>
      </c>
      <c r="E34" s="23" t="s">
        <v>86</v>
      </c>
      <c r="F34" s="23" t="s">
        <v>87</v>
      </c>
      <c r="G34" s="23" t="s">
        <v>217</v>
      </c>
      <c r="H34" s="23" t="s">
        <v>218</v>
      </c>
      <c r="I34" s="109">
        <v>84000</v>
      </c>
      <c r="J34" s="109"/>
      <c r="K34" s="109"/>
      <c r="L34" s="109"/>
      <c r="M34" s="109"/>
      <c r="N34" s="109">
        <v>84000</v>
      </c>
      <c r="O34" s="109"/>
      <c r="P34" s="109"/>
      <c r="Q34" s="109"/>
      <c r="R34" s="109"/>
      <c r="S34" s="109"/>
      <c r="T34" s="109"/>
      <c r="U34" s="87"/>
      <c r="V34" s="109"/>
      <c r="W34" s="109"/>
    </row>
    <row r="35" ht="32.9" customHeight="1" spans="1:23">
      <c r="A35" s="23"/>
      <c r="B35" s="23"/>
      <c r="C35" s="23" t="s">
        <v>260</v>
      </c>
      <c r="D35" s="23"/>
      <c r="E35" s="23"/>
      <c r="F35" s="23"/>
      <c r="G35" s="23"/>
      <c r="H35" s="23"/>
      <c r="I35" s="109">
        <v>21335733.5</v>
      </c>
      <c r="J35" s="109">
        <v>19250000</v>
      </c>
      <c r="K35" s="109">
        <v>19250000</v>
      </c>
      <c r="L35" s="109"/>
      <c r="M35" s="109"/>
      <c r="N35" s="109">
        <v>2085733.5</v>
      </c>
      <c r="O35" s="109"/>
      <c r="P35" s="109"/>
      <c r="Q35" s="109"/>
      <c r="R35" s="109"/>
      <c r="S35" s="109"/>
      <c r="T35" s="109"/>
      <c r="U35" s="87"/>
      <c r="V35" s="109"/>
      <c r="W35" s="109"/>
    </row>
    <row r="36" ht="32.9" customHeight="1" spans="1:23">
      <c r="A36" s="23" t="s">
        <v>242</v>
      </c>
      <c r="B36" s="106" t="s">
        <v>261</v>
      </c>
      <c r="C36" s="23" t="s">
        <v>260</v>
      </c>
      <c r="D36" s="23" t="s">
        <v>46</v>
      </c>
      <c r="E36" s="23" t="s">
        <v>72</v>
      </c>
      <c r="F36" s="23" t="s">
        <v>73</v>
      </c>
      <c r="G36" s="23" t="s">
        <v>207</v>
      </c>
      <c r="H36" s="23" t="s">
        <v>208</v>
      </c>
      <c r="I36" s="109">
        <v>29610</v>
      </c>
      <c r="J36" s="109"/>
      <c r="K36" s="109"/>
      <c r="L36" s="109"/>
      <c r="M36" s="109"/>
      <c r="N36" s="109">
        <v>29610</v>
      </c>
      <c r="O36" s="109"/>
      <c r="P36" s="109"/>
      <c r="Q36" s="109"/>
      <c r="R36" s="109"/>
      <c r="S36" s="109"/>
      <c r="T36" s="109"/>
      <c r="U36" s="87"/>
      <c r="V36" s="109"/>
      <c r="W36" s="109"/>
    </row>
    <row r="37" ht="32.9" customHeight="1" spans="1:23">
      <c r="A37" s="23" t="s">
        <v>242</v>
      </c>
      <c r="B37" s="106" t="s">
        <v>261</v>
      </c>
      <c r="C37" s="23" t="s">
        <v>260</v>
      </c>
      <c r="D37" s="23" t="s">
        <v>46</v>
      </c>
      <c r="E37" s="23" t="s">
        <v>72</v>
      </c>
      <c r="F37" s="23" t="s">
        <v>73</v>
      </c>
      <c r="G37" s="23" t="s">
        <v>217</v>
      </c>
      <c r="H37" s="23" t="s">
        <v>218</v>
      </c>
      <c r="I37" s="109">
        <v>197214.5</v>
      </c>
      <c r="J37" s="109"/>
      <c r="K37" s="109"/>
      <c r="L37" s="109"/>
      <c r="M37" s="109"/>
      <c r="N37" s="109">
        <v>197214.5</v>
      </c>
      <c r="O37" s="109"/>
      <c r="P37" s="109"/>
      <c r="Q37" s="109"/>
      <c r="R37" s="109"/>
      <c r="S37" s="109"/>
      <c r="T37" s="109"/>
      <c r="U37" s="87"/>
      <c r="V37" s="109"/>
      <c r="W37" s="109"/>
    </row>
    <row r="38" ht="32.9" customHeight="1" spans="1:23">
      <c r="A38" s="23" t="s">
        <v>242</v>
      </c>
      <c r="B38" s="106" t="s">
        <v>261</v>
      </c>
      <c r="C38" s="23" t="s">
        <v>260</v>
      </c>
      <c r="D38" s="23" t="s">
        <v>46</v>
      </c>
      <c r="E38" s="23" t="s">
        <v>72</v>
      </c>
      <c r="F38" s="23" t="s">
        <v>73</v>
      </c>
      <c r="G38" s="23" t="s">
        <v>258</v>
      </c>
      <c r="H38" s="23" t="s">
        <v>259</v>
      </c>
      <c r="I38" s="109">
        <v>298657</v>
      </c>
      <c r="J38" s="109"/>
      <c r="K38" s="109"/>
      <c r="L38" s="109"/>
      <c r="M38" s="109"/>
      <c r="N38" s="109">
        <v>298657</v>
      </c>
      <c r="O38" s="109"/>
      <c r="P38" s="109"/>
      <c r="Q38" s="109"/>
      <c r="R38" s="109"/>
      <c r="S38" s="109"/>
      <c r="T38" s="109"/>
      <c r="U38" s="87"/>
      <c r="V38" s="109"/>
      <c r="W38" s="109"/>
    </row>
    <row r="39" ht="32.9" customHeight="1" spans="1:23">
      <c r="A39" s="23" t="s">
        <v>242</v>
      </c>
      <c r="B39" s="106" t="s">
        <v>261</v>
      </c>
      <c r="C39" s="23" t="s">
        <v>260</v>
      </c>
      <c r="D39" s="23" t="s">
        <v>46</v>
      </c>
      <c r="E39" s="23" t="s">
        <v>72</v>
      </c>
      <c r="F39" s="23" t="s">
        <v>73</v>
      </c>
      <c r="G39" s="23" t="s">
        <v>223</v>
      </c>
      <c r="H39" s="23" t="s">
        <v>224</v>
      </c>
      <c r="I39" s="109">
        <v>51750</v>
      </c>
      <c r="J39" s="109"/>
      <c r="K39" s="109"/>
      <c r="L39" s="109"/>
      <c r="M39" s="109"/>
      <c r="N39" s="109">
        <v>51750</v>
      </c>
      <c r="O39" s="109"/>
      <c r="P39" s="109"/>
      <c r="Q39" s="109"/>
      <c r="R39" s="109"/>
      <c r="S39" s="109"/>
      <c r="T39" s="109"/>
      <c r="U39" s="87"/>
      <c r="V39" s="109"/>
      <c r="W39" s="109"/>
    </row>
    <row r="40" ht="32.9" customHeight="1" spans="1:23">
      <c r="A40" s="23" t="s">
        <v>242</v>
      </c>
      <c r="B40" s="106" t="s">
        <v>261</v>
      </c>
      <c r="C40" s="23" t="s">
        <v>260</v>
      </c>
      <c r="D40" s="23" t="s">
        <v>46</v>
      </c>
      <c r="E40" s="23" t="s">
        <v>72</v>
      </c>
      <c r="F40" s="23" t="s">
        <v>73</v>
      </c>
      <c r="G40" s="23" t="s">
        <v>225</v>
      </c>
      <c r="H40" s="23" t="s">
        <v>226</v>
      </c>
      <c r="I40" s="109">
        <v>758630</v>
      </c>
      <c r="J40" s="109"/>
      <c r="K40" s="109"/>
      <c r="L40" s="109"/>
      <c r="M40" s="109"/>
      <c r="N40" s="109">
        <v>758630</v>
      </c>
      <c r="O40" s="109"/>
      <c r="P40" s="109"/>
      <c r="Q40" s="109"/>
      <c r="R40" s="109"/>
      <c r="S40" s="109"/>
      <c r="T40" s="109"/>
      <c r="U40" s="87"/>
      <c r="V40" s="109"/>
      <c r="W40" s="109"/>
    </row>
    <row r="41" ht="32.9" customHeight="1" spans="1:23">
      <c r="A41" s="23" t="s">
        <v>242</v>
      </c>
      <c r="B41" s="106" t="s">
        <v>261</v>
      </c>
      <c r="C41" s="23" t="s">
        <v>260</v>
      </c>
      <c r="D41" s="23" t="s">
        <v>46</v>
      </c>
      <c r="E41" s="23" t="s">
        <v>74</v>
      </c>
      <c r="F41" s="23" t="s">
        <v>75</v>
      </c>
      <c r="G41" s="23" t="s">
        <v>207</v>
      </c>
      <c r="H41" s="23" t="s">
        <v>208</v>
      </c>
      <c r="I41" s="109">
        <v>10100</v>
      </c>
      <c r="J41" s="109">
        <v>10100</v>
      </c>
      <c r="K41" s="109">
        <v>10100</v>
      </c>
      <c r="L41" s="109"/>
      <c r="M41" s="109"/>
      <c r="N41" s="109"/>
      <c r="O41" s="109"/>
      <c r="P41" s="109"/>
      <c r="Q41" s="109"/>
      <c r="R41" s="109"/>
      <c r="S41" s="109"/>
      <c r="T41" s="109"/>
      <c r="U41" s="87"/>
      <c r="V41" s="109"/>
      <c r="W41" s="109"/>
    </row>
    <row r="42" ht="32.9" customHeight="1" spans="1:23">
      <c r="A42" s="23" t="s">
        <v>242</v>
      </c>
      <c r="B42" s="106" t="s">
        <v>261</v>
      </c>
      <c r="C42" s="23" t="s">
        <v>260</v>
      </c>
      <c r="D42" s="23" t="s">
        <v>46</v>
      </c>
      <c r="E42" s="23" t="s">
        <v>74</v>
      </c>
      <c r="F42" s="23" t="s">
        <v>75</v>
      </c>
      <c r="G42" s="23" t="s">
        <v>217</v>
      </c>
      <c r="H42" s="23" t="s">
        <v>218</v>
      </c>
      <c r="I42" s="109">
        <v>1985000</v>
      </c>
      <c r="J42" s="109">
        <v>1985000</v>
      </c>
      <c r="K42" s="109">
        <v>1985000</v>
      </c>
      <c r="L42" s="109"/>
      <c r="M42" s="109"/>
      <c r="N42" s="109"/>
      <c r="O42" s="109"/>
      <c r="P42" s="109"/>
      <c r="Q42" s="109"/>
      <c r="R42" s="109"/>
      <c r="S42" s="109"/>
      <c r="T42" s="109"/>
      <c r="U42" s="87"/>
      <c r="V42" s="109"/>
      <c r="W42" s="109"/>
    </row>
    <row r="43" ht="32.9" customHeight="1" spans="1:23">
      <c r="A43" s="23" t="s">
        <v>242</v>
      </c>
      <c r="B43" s="106" t="s">
        <v>261</v>
      </c>
      <c r="C43" s="23" t="s">
        <v>260</v>
      </c>
      <c r="D43" s="23" t="s">
        <v>46</v>
      </c>
      <c r="E43" s="23" t="s">
        <v>74</v>
      </c>
      <c r="F43" s="23" t="s">
        <v>75</v>
      </c>
      <c r="G43" s="23" t="s">
        <v>258</v>
      </c>
      <c r="H43" s="23" t="s">
        <v>259</v>
      </c>
      <c r="I43" s="109">
        <v>1100000</v>
      </c>
      <c r="J43" s="109">
        <v>1100000</v>
      </c>
      <c r="K43" s="109">
        <v>1100000</v>
      </c>
      <c r="L43" s="109"/>
      <c r="M43" s="109"/>
      <c r="N43" s="109"/>
      <c r="O43" s="109"/>
      <c r="P43" s="109"/>
      <c r="Q43" s="109"/>
      <c r="R43" s="109"/>
      <c r="S43" s="109"/>
      <c r="T43" s="109"/>
      <c r="U43" s="87"/>
      <c r="V43" s="109"/>
      <c r="W43" s="109"/>
    </row>
    <row r="44" ht="32.9" customHeight="1" spans="1:23">
      <c r="A44" s="23" t="s">
        <v>242</v>
      </c>
      <c r="B44" s="106" t="s">
        <v>261</v>
      </c>
      <c r="C44" s="23" t="s">
        <v>260</v>
      </c>
      <c r="D44" s="23" t="s">
        <v>46</v>
      </c>
      <c r="E44" s="23" t="s">
        <v>74</v>
      </c>
      <c r="F44" s="23" t="s">
        <v>75</v>
      </c>
      <c r="G44" s="23" t="s">
        <v>225</v>
      </c>
      <c r="H44" s="23" t="s">
        <v>226</v>
      </c>
      <c r="I44" s="109">
        <v>173700</v>
      </c>
      <c r="J44" s="109">
        <v>108000</v>
      </c>
      <c r="K44" s="109">
        <v>108000</v>
      </c>
      <c r="L44" s="109"/>
      <c r="M44" s="109"/>
      <c r="N44" s="109">
        <v>65700</v>
      </c>
      <c r="O44" s="109"/>
      <c r="P44" s="109"/>
      <c r="Q44" s="109"/>
      <c r="R44" s="109"/>
      <c r="S44" s="109"/>
      <c r="T44" s="109"/>
      <c r="U44" s="87"/>
      <c r="V44" s="109"/>
      <c r="W44" s="109"/>
    </row>
    <row r="45" ht="32.9" customHeight="1" spans="1:23">
      <c r="A45" s="23" t="s">
        <v>242</v>
      </c>
      <c r="B45" s="106" t="s">
        <v>261</v>
      </c>
      <c r="C45" s="23" t="s">
        <v>260</v>
      </c>
      <c r="D45" s="23" t="s">
        <v>46</v>
      </c>
      <c r="E45" s="23" t="s">
        <v>74</v>
      </c>
      <c r="F45" s="23" t="s">
        <v>75</v>
      </c>
      <c r="G45" s="23" t="s">
        <v>244</v>
      </c>
      <c r="H45" s="23" t="s">
        <v>245</v>
      </c>
      <c r="I45" s="109">
        <v>16731072</v>
      </c>
      <c r="J45" s="109">
        <v>16046900</v>
      </c>
      <c r="K45" s="109">
        <v>16046900</v>
      </c>
      <c r="L45" s="109"/>
      <c r="M45" s="109"/>
      <c r="N45" s="109">
        <v>684172</v>
      </c>
      <c r="O45" s="109"/>
      <c r="P45" s="109"/>
      <c r="Q45" s="109"/>
      <c r="R45" s="109"/>
      <c r="S45" s="109"/>
      <c r="T45" s="109"/>
      <c r="U45" s="87"/>
      <c r="V45" s="109"/>
      <c r="W45" s="109"/>
    </row>
    <row r="46" ht="32.9" customHeight="1" spans="1:23">
      <c r="A46" s="23"/>
      <c r="B46" s="23"/>
      <c r="C46" s="23" t="s">
        <v>262</v>
      </c>
      <c r="D46" s="23"/>
      <c r="E46" s="23"/>
      <c r="F46" s="23"/>
      <c r="G46" s="23"/>
      <c r="H46" s="23"/>
      <c r="I46" s="109">
        <v>1800000</v>
      </c>
      <c r="J46" s="109"/>
      <c r="K46" s="109"/>
      <c r="L46" s="109"/>
      <c r="M46" s="109"/>
      <c r="N46" s="109">
        <v>1800000</v>
      </c>
      <c r="O46" s="109"/>
      <c r="P46" s="109"/>
      <c r="Q46" s="109"/>
      <c r="R46" s="109"/>
      <c r="S46" s="109"/>
      <c r="T46" s="109"/>
      <c r="U46" s="87"/>
      <c r="V46" s="109"/>
      <c r="W46" s="109"/>
    </row>
    <row r="47" ht="32.9" customHeight="1" spans="1:23">
      <c r="A47" s="23" t="s">
        <v>247</v>
      </c>
      <c r="B47" s="106" t="s">
        <v>263</v>
      </c>
      <c r="C47" s="23" t="s">
        <v>262</v>
      </c>
      <c r="D47" s="23" t="s">
        <v>46</v>
      </c>
      <c r="E47" s="23" t="s">
        <v>72</v>
      </c>
      <c r="F47" s="23" t="s">
        <v>73</v>
      </c>
      <c r="G47" s="23" t="s">
        <v>229</v>
      </c>
      <c r="H47" s="23" t="s">
        <v>230</v>
      </c>
      <c r="I47" s="109">
        <v>1800000</v>
      </c>
      <c r="J47" s="109"/>
      <c r="K47" s="109"/>
      <c r="L47" s="109"/>
      <c r="M47" s="109"/>
      <c r="N47" s="109">
        <v>1800000</v>
      </c>
      <c r="O47" s="109"/>
      <c r="P47" s="109"/>
      <c r="Q47" s="109"/>
      <c r="R47" s="109"/>
      <c r="S47" s="109"/>
      <c r="T47" s="109"/>
      <c r="U47" s="87"/>
      <c r="V47" s="109"/>
      <c r="W47" s="109"/>
    </row>
    <row r="48" ht="32.9" customHeight="1" spans="1:23">
      <c r="A48" s="23"/>
      <c r="B48" s="23"/>
      <c r="C48" s="23" t="s">
        <v>264</v>
      </c>
      <c r="D48" s="23"/>
      <c r="E48" s="23"/>
      <c r="F48" s="23"/>
      <c r="G48" s="23"/>
      <c r="H48" s="23"/>
      <c r="I48" s="109">
        <v>2000000</v>
      </c>
      <c r="J48" s="109"/>
      <c r="K48" s="109"/>
      <c r="L48" s="109"/>
      <c r="M48" s="109"/>
      <c r="N48" s="109">
        <v>2000000</v>
      </c>
      <c r="O48" s="109"/>
      <c r="P48" s="109"/>
      <c r="Q48" s="109"/>
      <c r="R48" s="109"/>
      <c r="S48" s="109"/>
      <c r="T48" s="109"/>
      <c r="U48" s="87"/>
      <c r="V48" s="109"/>
      <c r="W48" s="109"/>
    </row>
    <row r="49" ht="32.9" customHeight="1" spans="1:23">
      <c r="A49" s="23" t="s">
        <v>252</v>
      </c>
      <c r="B49" s="106" t="s">
        <v>265</v>
      </c>
      <c r="C49" s="23" t="s">
        <v>264</v>
      </c>
      <c r="D49" s="23" t="s">
        <v>46</v>
      </c>
      <c r="E49" s="23" t="s">
        <v>76</v>
      </c>
      <c r="F49" s="23" t="s">
        <v>77</v>
      </c>
      <c r="G49" s="23" t="s">
        <v>244</v>
      </c>
      <c r="H49" s="23" t="s">
        <v>245</v>
      </c>
      <c r="I49" s="109">
        <v>2000000</v>
      </c>
      <c r="J49" s="109"/>
      <c r="K49" s="109"/>
      <c r="L49" s="109"/>
      <c r="M49" s="109"/>
      <c r="N49" s="109">
        <v>2000000</v>
      </c>
      <c r="O49" s="109"/>
      <c r="P49" s="109"/>
      <c r="Q49" s="109"/>
      <c r="R49" s="109"/>
      <c r="S49" s="109"/>
      <c r="T49" s="109"/>
      <c r="U49" s="87"/>
      <c r="V49" s="109"/>
      <c r="W49" s="109"/>
    </row>
    <row r="50" ht="32.9" customHeight="1" spans="1:23">
      <c r="A50" s="23"/>
      <c r="B50" s="23"/>
      <c r="C50" s="23" t="s">
        <v>266</v>
      </c>
      <c r="D50" s="23"/>
      <c r="E50" s="23"/>
      <c r="F50" s="23"/>
      <c r="G50" s="23"/>
      <c r="H50" s="23"/>
      <c r="I50" s="109">
        <v>177214927.31</v>
      </c>
      <c r="J50" s="109">
        <v>108806800</v>
      </c>
      <c r="K50" s="109">
        <v>108806800</v>
      </c>
      <c r="L50" s="109"/>
      <c r="M50" s="109"/>
      <c r="N50" s="109">
        <v>68408127.31</v>
      </c>
      <c r="O50" s="109"/>
      <c r="P50" s="109"/>
      <c r="Q50" s="109"/>
      <c r="R50" s="109"/>
      <c r="S50" s="109"/>
      <c r="T50" s="109"/>
      <c r="U50" s="87"/>
      <c r="V50" s="109"/>
      <c r="W50" s="109"/>
    </row>
    <row r="51" ht="32.9" customHeight="1" spans="1:23">
      <c r="A51" s="23" t="s">
        <v>247</v>
      </c>
      <c r="B51" s="106" t="s">
        <v>267</v>
      </c>
      <c r="C51" s="23" t="s">
        <v>266</v>
      </c>
      <c r="D51" s="23" t="s">
        <v>46</v>
      </c>
      <c r="E51" s="23" t="s">
        <v>80</v>
      </c>
      <c r="F51" s="23" t="s">
        <v>81</v>
      </c>
      <c r="G51" s="23" t="s">
        <v>217</v>
      </c>
      <c r="H51" s="23" t="s">
        <v>218</v>
      </c>
      <c r="I51" s="109">
        <v>700900</v>
      </c>
      <c r="J51" s="109">
        <v>700900</v>
      </c>
      <c r="K51" s="109">
        <v>700900</v>
      </c>
      <c r="L51" s="109"/>
      <c r="M51" s="109"/>
      <c r="N51" s="109"/>
      <c r="O51" s="109"/>
      <c r="P51" s="109"/>
      <c r="Q51" s="109"/>
      <c r="R51" s="109"/>
      <c r="S51" s="109"/>
      <c r="T51" s="109"/>
      <c r="U51" s="87"/>
      <c r="V51" s="109"/>
      <c r="W51" s="109"/>
    </row>
    <row r="52" ht="32.9" customHeight="1" spans="1:23">
      <c r="A52" s="23" t="s">
        <v>247</v>
      </c>
      <c r="B52" s="106" t="s">
        <v>267</v>
      </c>
      <c r="C52" s="23" t="s">
        <v>266</v>
      </c>
      <c r="D52" s="23" t="s">
        <v>46</v>
      </c>
      <c r="E52" s="23" t="s">
        <v>80</v>
      </c>
      <c r="F52" s="23" t="s">
        <v>81</v>
      </c>
      <c r="G52" s="23" t="s">
        <v>219</v>
      </c>
      <c r="H52" s="23" t="s">
        <v>220</v>
      </c>
      <c r="I52" s="109">
        <v>2277867.94</v>
      </c>
      <c r="J52" s="109"/>
      <c r="K52" s="109"/>
      <c r="L52" s="109"/>
      <c r="M52" s="109"/>
      <c r="N52" s="109">
        <v>2277867.94</v>
      </c>
      <c r="O52" s="109"/>
      <c r="P52" s="109"/>
      <c r="Q52" s="109"/>
      <c r="R52" s="109"/>
      <c r="S52" s="109"/>
      <c r="T52" s="109"/>
      <c r="U52" s="87"/>
      <c r="V52" s="109"/>
      <c r="W52" s="109"/>
    </row>
    <row r="53" ht="32.9" customHeight="1" spans="1:23">
      <c r="A53" s="23" t="s">
        <v>247</v>
      </c>
      <c r="B53" s="106" t="s">
        <v>267</v>
      </c>
      <c r="C53" s="23" t="s">
        <v>266</v>
      </c>
      <c r="D53" s="23" t="s">
        <v>46</v>
      </c>
      <c r="E53" s="23" t="s">
        <v>80</v>
      </c>
      <c r="F53" s="23" t="s">
        <v>81</v>
      </c>
      <c r="G53" s="23" t="s">
        <v>223</v>
      </c>
      <c r="H53" s="23" t="s">
        <v>224</v>
      </c>
      <c r="I53" s="109">
        <v>243000</v>
      </c>
      <c r="J53" s="109">
        <v>243000</v>
      </c>
      <c r="K53" s="109">
        <v>243000</v>
      </c>
      <c r="L53" s="109"/>
      <c r="M53" s="109"/>
      <c r="N53" s="109"/>
      <c r="O53" s="109"/>
      <c r="P53" s="109"/>
      <c r="Q53" s="109"/>
      <c r="R53" s="109"/>
      <c r="S53" s="109"/>
      <c r="T53" s="109"/>
      <c r="U53" s="87"/>
      <c r="V53" s="109"/>
      <c r="W53" s="109"/>
    </row>
    <row r="54" ht="32.9" customHeight="1" spans="1:23">
      <c r="A54" s="23" t="s">
        <v>247</v>
      </c>
      <c r="B54" s="106" t="s">
        <v>267</v>
      </c>
      <c r="C54" s="23" t="s">
        <v>266</v>
      </c>
      <c r="D54" s="23" t="s">
        <v>46</v>
      </c>
      <c r="E54" s="23" t="s">
        <v>80</v>
      </c>
      <c r="F54" s="23" t="s">
        <v>81</v>
      </c>
      <c r="G54" s="23" t="s">
        <v>225</v>
      </c>
      <c r="H54" s="23" t="s">
        <v>226</v>
      </c>
      <c r="I54" s="109">
        <v>7000</v>
      </c>
      <c r="J54" s="109">
        <v>7000</v>
      </c>
      <c r="K54" s="109">
        <v>7000</v>
      </c>
      <c r="L54" s="109"/>
      <c r="M54" s="109"/>
      <c r="N54" s="109"/>
      <c r="O54" s="109"/>
      <c r="P54" s="109"/>
      <c r="Q54" s="109"/>
      <c r="R54" s="109"/>
      <c r="S54" s="109"/>
      <c r="T54" s="109"/>
      <c r="U54" s="87"/>
      <c r="V54" s="109"/>
      <c r="W54" s="109"/>
    </row>
    <row r="55" ht="32.9" customHeight="1" spans="1:23">
      <c r="A55" s="23" t="s">
        <v>247</v>
      </c>
      <c r="B55" s="106" t="s">
        <v>267</v>
      </c>
      <c r="C55" s="23" t="s">
        <v>266</v>
      </c>
      <c r="D55" s="23" t="s">
        <v>46</v>
      </c>
      <c r="E55" s="23" t="s">
        <v>80</v>
      </c>
      <c r="F55" s="23" t="s">
        <v>81</v>
      </c>
      <c r="G55" s="23" t="s">
        <v>244</v>
      </c>
      <c r="H55" s="23" t="s">
        <v>245</v>
      </c>
      <c r="I55" s="109">
        <v>17194553.5</v>
      </c>
      <c r="J55" s="109">
        <v>11146000</v>
      </c>
      <c r="K55" s="109">
        <v>11146000</v>
      </c>
      <c r="L55" s="109"/>
      <c r="M55" s="109"/>
      <c r="N55" s="109">
        <v>6048553.5</v>
      </c>
      <c r="O55" s="109"/>
      <c r="P55" s="109"/>
      <c r="Q55" s="109"/>
      <c r="R55" s="109"/>
      <c r="S55" s="109"/>
      <c r="T55" s="109"/>
      <c r="U55" s="87"/>
      <c r="V55" s="109"/>
      <c r="W55" s="109"/>
    </row>
    <row r="56" ht="32.9" customHeight="1" spans="1:23">
      <c r="A56" s="23" t="s">
        <v>247</v>
      </c>
      <c r="B56" s="106" t="s">
        <v>267</v>
      </c>
      <c r="C56" s="23" t="s">
        <v>266</v>
      </c>
      <c r="D56" s="23" t="s">
        <v>46</v>
      </c>
      <c r="E56" s="23" t="s">
        <v>80</v>
      </c>
      <c r="F56" s="23" t="s">
        <v>81</v>
      </c>
      <c r="G56" s="23" t="s">
        <v>229</v>
      </c>
      <c r="H56" s="23" t="s">
        <v>230</v>
      </c>
      <c r="I56" s="109">
        <v>6049100</v>
      </c>
      <c r="J56" s="109"/>
      <c r="K56" s="109"/>
      <c r="L56" s="109"/>
      <c r="M56" s="109"/>
      <c r="N56" s="109">
        <v>6049100</v>
      </c>
      <c r="O56" s="109"/>
      <c r="P56" s="109"/>
      <c r="Q56" s="109"/>
      <c r="R56" s="109"/>
      <c r="S56" s="109"/>
      <c r="T56" s="109"/>
      <c r="U56" s="87"/>
      <c r="V56" s="109"/>
      <c r="W56" s="109"/>
    </row>
    <row r="57" ht="32.9" customHeight="1" spans="1:23">
      <c r="A57" s="23" t="s">
        <v>247</v>
      </c>
      <c r="B57" s="106" t="s">
        <v>267</v>
      </c>
      <c r="C57" s="23" t="s">
        <v>266</v>
      </c>
      <c r="D57" s="23" t="s">
        <v>46</v>
      </c>
      <c r="E57" s="23" t="s">
        <v>80</v>
      </c>
      <c r="F57" s="23" t="s">
        <v>81</v>
      </c>
      <c r="G57" s="23" t="s">
        <v>268</v>
      </c>
      <c r="H57" s="23" t="s">
        <v>269</v>
      </c>
      <c r="I57" s="109">
        <v>4070000</v>
      </c>
      <c r="J57" s="109"/>
      <c r="K57" s="109"/>
      <c r="L57" s="109"/>
      <c r="M57" s="109"/>
      <c r="N57" s="109">
        <v>4070000</v>
      </c>
      <c r="O57" s="109"/>
      <c r="P57" s="109"/>
      <c r="Q57" s="109"/>
      <c r="R57" s="109"/>
      <c r="S57" s="109"/>
      <c r="T57" s="109"/>
      <c r="U57" s="87"/>
      <c r="V57" s="109"/>
      <c r="W57" s="109"/>
    </row>
    <row r="58" ht="32.9" customHeight="1" spans="1:23">
      <c r="A58" s="23" t="s">
        <v>247</v>
      </c>
      <c r="B58" s="106" t="s">
        <v>267</v>
      </c>
      <c r="C58" s="23" t="s">
        <v>266</v>
      </c>
      <c r="D58" s="23" t="s">
        <v>46</v>
      </c>
      <c r="E58" s="23" t="s">
        <v>82</v>
      </c>
      <c r="F58" s="23" t="s">
        <v>83</v>
      </c>
      <c r="G58" s="23" t="s">
        <v>207</v>
      </c>
      <c r="H58" s="23" t="s">
        <v>208</v>
      </c>
      <c r="I58" s="109">
        <v>8970</v>
      </c>
      <c r="J58" s="109">
        <v>8970</v>
      </c>
      <c r="K58" s="109">
        <v>8970</v>
      </c>
      <c r="L58" s="109"/>
      <c r="M58" s="109"/>
      <c r="N58" s="109"/>
      <c r="O58" s="109"/>
      <c r="P58" s="109"/>
      <c r="Q58" s="109"/>
      <c r="R58" s="109"/>
      <c r="S58" s="109"/>
      <c r="T58" s="109"/>
      <c r="U58" s="87"/>
      <c r="V58" s="109"/>
      <c r="W58" s="109"/>
    </row>
    <row r="59" ht="32.9" customHeight="1" spans="1:23">
      <c r="A59" s="23" t="s">
        <v>247</v>
      </c>
      <c r="B59" s="106" t="s">
        <v>267</v>
      </c>
      <c r="C59" s="23" t="s">
        <v>266</v>
      </c>
      <c r="D59" s="23" t="s">
        <v>46</v>
      </c>
      <c r="E59" s="23" t="s">
        <v>82</v>
      </c>
      <c r="F59" s="23" t="s">
        <v>83</v>
      </c>
      <c r="G59" s="23" t="s">
        <v>217</v>
      </c>
      <c r="H59" s="23" t="s">
        <v>218</v>
      </c>
      <c r="I59" s="109">
        <v>1552930</v>
      </c>
      <c r="J59" s="109">
        <v>1552930</v>
      </c>
      <c r="K59" s="109">
        <v>1552930</v>
      </c>
      <c r="L59" s="109"/>
      <c r="M59" s="109"/>
      <c r="N59" s="109"/>
      <c r="O59" s="109"/>
      <c r="P59" s="109"/>
      <c r="Q59" s="109"/>
      <c r="R59" s="109"/>
      <c r="S59" s="109"/>
      <c r="T59" s="109"/>
      <c r="U59" s="87"/>
      <c r="V59" s="109"/>
      <c r="W59" s="109"/>
    </row>
    <row r="60" ht="32.9" customHeight="1" spans="1:23">
      <c r="A60" s="23" t="s">
        <v>247</v>
      </c>
      <c r="B60" s="106" t="s">
        <v>267</v>
      </c>
      <c r="C60" s="23" t="s">
        <v>266</v>
      </c>
      <c r="D60" s="23" t="s">
        <v>46</v>
      </c>
      <c r="E60" s="23" t="s">
        <v>82</v>
      </c>
      <c r="F60" s="23" t="s">
        <v>83</v>
      </c>
      <c r="G60" s="23" t="s">
        <v>225</v>
      </c>
      <c r="H60" s="23" t="s">
        <v>226</v>
      </c>
      <c r="I60" s="109">
        <v>25200</v>
      </c>
      <c r="J60" s="109">
        <v>25200</v>
      </c>
      <c r="K60" s="109">
        <v>25200</v>
      </c>
      <c r="L60" s="109"/>
      <c r="M60" s="109"/>
      <c r="N60" s="109"/>
      <c r="O60" s="109"/>
      <c r="P60" s="109"/>
      <c r="Q60" s="109"/>
      <c r="R60" s="109"/>
      <c r="S60" s="109"/>
      <c r="T60" s="109"/>
      <c r="U60" s="87"/>
      <c r="V60" s="109"/>
      <c r="W60" s="109"/>
    </row>
    <row r="61" ht="32.9" customHeight="1" spans="1:23">
      <c r="A61" s="23" t="s">
        <v>247</v>
      </c>
      <c r="B61" s="106" t="s">
        <v>267</v>
      </c>
      <c r="C61" s="23" t="s">
        <v>266</v>
      </c>
      <c r="D61" s="23" t="s">
        <v>46</v>
      </c>
      <c r="E61" s="23" t="s">
        <v>82</v>
      </c>
      <c r="F61" s="23" t="s">
        <v>83</v>
      </c>
      <c r="G61" s="23" t="s">
        <v>244</v>
      </c>
      <c r="H61" s="23" t="s">
        <v>245</v>
      </c>
      <c r="I61" s="109">
        <v>88011771.32</v>
      </c>
      <c r="J61" s="109">
        <v>62014300</v>
      </c>
      <c r="K61" s="109">
        <v>62014300</v>
      </c>
      <c r="L61" s="109"/>
      <c r="M61" s="109"/>
      <c r="N61" s="109">
        <v>25997471.32</v>
      </c>
      <c r="O61" s="109"/>
      <c r="P61" s="109"/>
      <c r="Q61" s="109"/>
      <c r="R61" s="109"/>
      <c r="S61" s="109"/>
      <c r="T61" s="109"/>
      <c r="U61" s="87"/>
      <c r="V61" s="109"/>
      <c r="W61" s="109"/>
    </row>
    <row r="62" ht="32.9" customHeight="1" spans="1:23">
      <c r="A62" s="23" t="s">
        <v>247</v>
      </c>
      <c r="B62" s="106" t="s">
        <v>267</v>
      </c>
      <c r="C62" s="23" t="s">
        <v>266</v>
      </c>
      <c r="D62" s="23" t="s">
        <v>46</v>
      </c>
      <c r="E62" s="23" t="s">
        <v>82</v>
      </c>
      <c r="F62" s="23" t="s">
        <v>83</v>
      </c>
      <c r="G62" s="23" t="s">
        <v>229</v>
      </c>
      <c r="H62" s="23" t="s">
        <v>230</v>
      </c>
      <c r="I62" s="109">
        <v>1556350</v>
      </c>
      <c r="J62" s="109">
        <v>44000</v>
      </c>
      <c r="K62" s="109">
        <v>44000</v>
      </c>
      <c r="L62" s="109"/>
      <c r="M62" s="109"/>
      <c r="N62" s="109">
        <v>1512350</v>
      </c>
      <c r="O62" s="109"/>
      <c r="P62" s="109"/>
      <c r="Q62" s="109"/>
      <c r="R62" s="109"/>
      <c r="S62" s="109"/>
      <c r="T62" s="109"/>
      <c r="U62" s="87"/>
      <c r="V62" s="109"/>
      <c r="W62" s="109"/>
    </row>
    <row r="63" ht="32.9" customHeight="1" spans="1:23">
      <c r="A63" s="23" t="s">
        <v>247</v>
      </c>
      <c r="B63" s="106" t="s">
        <v>267</v>
      </c>
      <c r="C63" s="23" t="s">
        <v>266</v>
      </c>
      <c r="D63" s="23" t="s">
        <v>46</v>
      </c>
      <c r="E63" s="23" t="s">
        <v>84</v>
      </c>
      <c r="F63" s="23" t="s">
        <v>85</v>
      </c>
      <c r="G63" s="23" t="s">
        <v>217</v>
      </c>
      <c r="H63" s="23" t="s">
        <v>218</v>
      </c>
      <c r="I63" s="109">
        <v>1714622.7</v>
      </c>
      <c r="J63" s="109">
        <v>1432000</v>
      </c>
      <c r="K63" s="109">
        <v>1432000</v>
      </c>
      <c r="L63" s="109"/>
      <c r="M63" s="109"/>
      <c r="N63" s="109">
        <v>282622.7</v>
      </c>
      <c r="O63" s="109"/>
      <c r="P63" s="109"/>
      <c r="Q63" s="109"/>
      <c r="R63" s="109"/>
      <c r="S63" s="109"/>
      <c r="T63" s="109"/>
      <c r="U63" s="87"/>
      <c r="V63" s="109"/>
      <c r="W63" s="109"/>
    </row>
    <row r="64" ht="32.9" customHeight="1" spans="1:23">
      <c r="A64" s="23" t="s">
        <v>247</v>
      </c>
      <c r="B64" s="106" t="s">
        <v>267</v>
      </c>
      <c r="C64" s="23" t="s">
        <v>266</v>
      </c>
      <c r="D64" s="23" t="s">
        <v>46</v>
      </c>
      <c r="E64" s="23" t="s">
        <v>84</v>
      </c>
      <c r="F64" s="23" t="s">
        <v>85</v>
      </c>
      <c r="G64" s="23" t="s">
        <v>223</v>
      </c>
      <c r="H64" s="23" t="s">
        <v>224</v>
      </c>
      <c r="I64" s="109">
        <v>6303604.55</v>
      </c>
      <c r="J64" s="109">
        <v>2506000</v>
      </c>
      <c r="K64" s="109">
        <v>2506000</v>
      </c>
      <c r="L64" s="109"/>
      <c r="M64" s="109"/>
      <c r="N64" s="109">
        <v>3797604.55</v>
      </c>
      <c r="O64" s="109"/>
      <c r="P64" s="109"/>
      <c r="Q64" s="109"/>
      <c r="R64" s="109"/>
      <c r="S64" s="109"/>
      <c r="T64" s="109"/>
      <c r="U64" s="87"/>
      <c r="V64" s="109"/>
      <c r="W64" s="109"/>
    </row>
    <row r="65" ht="32.9" customHeight="1" spans="1:23">
      <c r="A65" s="23" t="s">
        <v>247</v>
      </c>
      <c r="B65" s="106" t="s">
        <v>267</v>
      </c>
      <c r="C65" s="23" t="s">
        <v>266</v>
      </c>
      <c r="D65" s="23" t="s">
        <v>46</v>
      </c>
      <c r="E65" s="23" t="s">
        <v>84</v>
      </c>
      <c r="F65" s="23" t="s">
        <v>85</v>
      </c>
      <c r="G65" s="23" t="s">
        <v>225</v>
      </c>
      <c r="H65" s="23" t="s">
        <v>226</v>
      </c>
      <c r="I65" s="109">
        <v>389300</v>
      </c>
      <c r="J65" s="109">
        <v>389300</v>
      </c>
      <c r="K65" s="109">
        <v>389300</v>
      </c>
      <c r="L65" s="109"/>
      <c r="M65" s="109"/>
      <c r="N65" s="109"/>
      <c r="O65" s="109"/>
      <c r="P65" s="109"/>
      <c r="Q65" s="109"/>
      <c r="R65" s="109"/>
      <c r="S65" s="109"/>
      <c r="T65" s="109"/>
      <c r="U65" s="87"/>
      <c r="V65" s="109"/>
      <c r="W65" s="109"/>
    </row>
    <row r="66" ht="32.9" customHeight="1" spans="1:23">
      <c r="A66" s="23" t="s">
        <v>247</v>
      </c>
      <c r="B66" s="106" t="s">
        <v>267</v>
      </c>
      <c r="C66" s="23" t="s">
        <v>266</v>
      </c>
      <c r="D66" s="23" t="s">
        <v>46</v>
      </c>
      <c r="E66" s="23" t="s">
        <v>84</v>
      </c>
      <c r="F66" s="23" t="s">
        <v>85</v>
      </c>
      <c r="G66" s="23" t="s">
        <v>244</v>
      </c>
      <c r="H66" s="23" t="s">
        <v>245</v>
      </c>
      <c r="I66" s="109">
        <v>35178586</v>
      </c>
      <c r="J66" s="109">
        <v>28437200</v>
      </c>
      <c r="K66" s="109">
        <v>28437200</v>
      </c>
      <c r="L66" s="109"/>
      <c r="M66" s="109"/>
      <c r="N66" s="109">
        <v>6741386</v>
      </c>
      <c r="O66" s="109"/>
      <c r="P66" s="109"/>
      <c r="Q66" s="109"/>
      <c r="R66" s="109"/>
      <c r="S66" s="109"/>
      <c r="T66" s="109"/>
      <c r="U66" s="87"/>
      <c r="V66" s="109"/>
      <c r="W66" s="109"/>
    </row>
    <row r="67" ht="32.9" customHeight="1" spans="1:23">
      <c r="A67" s="23" t="s">
        <v>247</v>
      </c>
      <c r="B67" s="106" t="s">
        <v>267</v>
      </c>
      <c r="C67" s="23" t="s">
        <v>266</v>
      </c>
      <c r="D67" s="23" t="s">
        <v>46</v>
      </c>
      <c r="E67" s="23" t="s">
        <v>84</v>
      </c>
      <c r="F67" s="23" t="s">
        <v>85</v>
      </c>
      <c r="G67" s="23" t="s">
        <v>229</v>
      </c>
      <c r="H67" s="23" t="s">
        <v>230</v>
      </c>
      <c r="I67" s="109">
        <v>1733573.3</v>
      </c>
      <c r="J67" s="109">
        <v>300000</v>
      </c>
      <c r="K67" s="109">
        <v>300000</v>
      </c>
      <c r="L67" s="109"/>
      <c r="M67" s="109"/>
      <c r="N67" s="109">
        <v>1433573.3</v>
      </c>
      <c r="O67" s="109"/>
      <c r="P67" s="109"/>
      <c r="Q67" s="109"/>
      <c r="R67" s="109"/>
      <c r="S67" s="109"/>
      <c r="T67" s="109"/>
      <c r="U67" s="87"/>
      <c r="V67" s="109"/>
      <c r="W67" s="109"/>
    </row>
    <row r="68" ht="32.9" customHeight="1" spans="1:23">
      <c r="A68" s="23" t="s">
        <v>247</v>
      </c>
      <c r="B68" s="106" t="s">
        <v>267</v>
      </c>
      <c r="C68" s="23" t="s">
        <v>266</v>
      </c>
      <c r="D68" s="23" t="s">
        <v>46</v>
      </c>
      <c r="E68" s="23" t="s">
        <v>86</v>
      </c>
      <c r="F68" s="23" t="s">
        <v>87</v>
      </c>
      <c r="G68" s="23" t="s">
        <v>244</v>
      </c>
      <c r="H68" s="23" t="s">
        <v>245</v>
      </c>
      <c r="I68" s="109">
        <v>10197598</v>
      </c>
      <c r="J68" s="109"/>
      <c r="K68" s="109"/>
      <c r="L68" s="109"/>
      <c r="M68" s="109"/>
      <c r="N68" s="109">
        <v>10197598</v>
      </c>
      <c r="O68" s="109"/>
      <c r="P68" s="109"/>
      <c r="Q68" s="109"/>
      <c r="R68" s="109"/>
      <c r="S68" s="109"/>
      <c r="T68" s="109"/>
      <c r="U68" s="87"/>
      <c r="V68" s="109"/>
      <c r="W68" s="109"/>
    </row>
    <row r="69" ht="32.9" customHeight="1" spans="1:23">
      <c r="A69" s="23"/>
      <c r="B69" s="23"/>
      <c r="C69" s="23" t="s">
        <v>270</v>
      </c>
      <c r="D69" s="23"/>
      <c r="E69" s="23"/>
      <c r="F69" s="23"/>
      <c r="G69" s="23"/>
      <c r="H69" s="23"/>
      <c r="I69" s="109">
        <v>1600000</v>
      </c>
      <c r="J69" s="109">
        <v>1600000</v>
      </c>
      <c r="K69" s="109">
        <v>1600000</v>
      </c>
      <c r="L69" s="109"/>
      <c r="M69" s="109"/>
      <c r="N69" s="109"/>
      <c r="O69" s="109"/>
      <c r="P69" s="109"/>
      <c r="Q69" s="109"/>
      <c r="R69" s="109"/>
      <c r="S69" s="109"/>
      <c r="T69" s="109"/>
      <c r="U69" s="87"/>
      <c r="V69" s="109"/>
      <c r="W69" s="109"/>
    </row>
    <row r="70" ht="32.9" customHeight="1" spans="1:23">
      <c r="A70" s="23" t="s">
        <v>247</v>
      </c>
      <c r="B70" s="106" t="s">
        <v>271</v>
      </c>
      <c r="C70" s="23" t="s">
        <v>270</v>
      </c>
      <c r="D70" s="23" t="s">
        <v>46</v>
      </c>
      <c r="E70" s="23" t="s">
        <v>70</v>
      </c>
      <c r="F70" s="23" t="s">
        <v>71</v>
      </c>
      <c r="G70" s="23" t="s">
        <v>244</v>
      </c>
      <c r="H70" s="23" t="s">
        <v>245</v>
      </c>
      <c r="I70" s="109">
        <v>1600000</v>
      </c>
      <c r="J70" s="109">
        <v>1600000</v>
      </c>
      <c r="K70" s="109">
        <v>1600000</v>
      </c>
      <c r="L70" s="109"/>
      <c r="M70" s="109"/>
      <c r="N70" s="109"/>
      <c r="O70" s="109"/>
      <c r="P70" s="109"/>
      <c r="Q70" s="109"/>
      <c r="R70" s="109"/>
      <c r="S70" s="109"/>
      <c r="T70" s="109"/>
      <c r="U70" s="87"/>
      <c r="V70" s="109"/>
      <c r="W70" s="109"/>
    </row>
    <row r="71" ht="32.9" customHeight="1" spans="1:23">
      <c r="A71" s="23"/>
      <c r="B71" s="23"/>
      <c r="C71" s="23" t="s">
        <v>272</v>
      </c>
      <c r="D71" s="23"/>
      <c r="E71" s="23"/>
      <c r="F71" s="23"/>
      <c r="G71" s="23"/>
      <c r="H71" s="23"/>
      <c r="I71" s="109">
        <v>28100000</v>
      </c>
      <c r="J71" s="109">
        <v>28100000</v>
      </c>
      <c r="K71" s="109"/>
      <c r="L71" s="109"/>
      <c r="M71" s="109"/>
      <c r="N71" s="109"/>
      <c r="O71" s="109"/>
      <c r="P71" s="109"/>
      <c r="Q71" s="109"/>
      <c r="R71" s="109"/>
      <c r="S71" s="109"/>
      <c r="T71" s="109"/>
      <c r="U71" s="87"/>
      <c r="V71" s="109"/>
      <c r="W71" s="109"/>
    </row>
    <row r="72" ht="32.9" customHeight="1" spans="1:23">
      <c r="A72" s="23" t="s">
        <v>247</v>
      </c>
      <c r="B72" s="106" t="s">
        <v>273</v>
      </c>
      <c r="C72" s="23" t="s">
        <v>272</v>
      </c>
      <c r="D72" s="23" t="s">
        <v>46</v>
      </c>
      <c r="E72" s="23" t="s">
        <v>78</v>
      </c>
      <c r="F72" s="23" t="s">
        <v>79</v>
      </c>
      <c r="G72" s="23" t="s">
        <v>244</v>
      </c>
      <c r="H72" s="23" t="s">
        <v>245</v>
      </c>
      <c r="I72" s="109">
        <v>28100000</v>
      </c>
      <c r="J72" s="109">
        <v>28100000</v>
      </c>
      <c r="K72" s="109"/>
      <c r="L72" s="109"/>
      <c r="M72" s="109"/>
      <c r="N72" s="109"/>
      <c r="O72" s="109"/>
      <c r="P72" s="109"/>
      <c r="Q72" s="109"/>
      <c r="R72" s="109"/>
      <c r="S72" s="109"/>
      <c r="T72" s="109"/>
      <c r="U72" s="87"/>
      <c r="V72" s="109"/>
      <c r="W72" s="109"/>
    </row>
    <row r="73" ht="32.9" customHeight="1" spans="1:23">
      <c r="A73" s="23"/>
      <c r="B73" s="23"/>
      <c r="C73" s="23" t="s">
        <v>274</v>
      </c>
      <c r="D73" s="23"/>
      <c r="E73" s="23"/>
      <c r="F73" s="23"/>
      <c r="G73" s="23"/>
      <c r="H73" s="23"/>
      <c r="I73" s="109">
        <v>6026618</v>
      </c>
      <c r="J73" s="109">
        <v>4800000</v>
      </c>
      <c r="K73" s="109">
        <v>4800000</v>
      </c>
      <c r="L73" s="109"/>
      <c r="M73" s="109"/>
      <c r="N73" s="109">
        <v>1226618</v>
      </c>
      <c r="O73" s="109"/>
      <c r="P73" s="109"/>
      <c r="Q73" s="109"/>
      <c r="R73" s="109"/>
      <c r="S73" s="109"/>
      <c r="T73" s="109"/>
      <c r="U73" s="87"/>
      <c r="V73" s="109"/>
      <c r="W73" s="109"/>
    </row>
    <row r="74" ht="32.9" customHeight="1" spans="1:23">
      <c r="A74" s="23" t="s">
        <v>242</v>
      </c>
      <c r="B74" s="106" t="s">
        <v>275</v>
      </c>
      <c r="C74" s="23" t="s">
        <v>274</v>
      </c>
      <c r="D74" s="23" t="s">
        <v>46</v>
      </c>
      <c r="E74" s="23" t="s">
        <v>90</v>
      </c>
      <c r="F74" s="23" t="s">
        <v>91</v>
      </c>
      <c r="G74" s="23" t="s">
        <v>223</v>
      </c>
      <c r="H74" s="23" t="s">
        <v>224</v>
      </c>
      <c r="I74" s="109">
        <v>838800</v>
      </c>
      <c r="J74" s="109">
        <v>838800</v>
      </c>
      <c r="K74" s="109">
        <v>838800</v>
      </c>
      <c r="L74" s="109"/>
      <c r="M74" s="109"/>
      <c r="N74" s="109"/>
      <c r="O74" s="109"/>
      <c r="P74" s="109"/>
      <c r="Q74" s="109"/>
      <c r="R74" s="109"/>
      <c r="S74" s="109"/>
      <c r="T74" s="109"/>
      <c r="U74" s="87"/>
      <c r="V74" s="109"/>
      <c r="W74" s="109"/>
    </row>
    <row r="75" ht="32.9" customHeight="1" spans="1:23">
      <c r="A75" s="23" t="s">
        <v>242</v>
      </c>
      <c r="B75" s="106" t="s">
        <v>275</v>
      </c>
      <c r="C75" s="23" t="s">
        <v>274</v>
      </c>
      <c r="D75" s="23" t="s">
        <v>46</v>
      </c>
      <c r="E75" s="23" t="s">
        <v>90</v>
      </c>
      <c r="F75" s="23" t="s">
        <v>91</v>
      </c>
      <c r="G75" s="23" t="s">
        <v>225</v>
      </c>
      <c r="H75" s="23" t="s">
        <v>226</v>
      </c>
      <c r="I75" s="109">
        <v>620000</v>
      </c>
      <c r="J75" s="109">
        <v>620000</v>
      </c>
      <c r="K75" s="109">
        <v>620000</v>
      </c>
      <c r="L75" s="109"/>
      <c r="M75" s="109"/>
      <c r="N75" s="109"/>
      <c r="O75" s="109"/>
      <c r="P75" s="109"/>
      <c r="Q75" s="109"/>
      <c r="R75" s="109"/>
      <c r="S75" s="109"/>
      <c r="T75" s="109"/>
      <c r="U75" s="87"/>
      <c r="V75" s="109"/>
      <c r="W75" s="109"/>
    </row>
    <row r="76" ht="32.9" customHeight="1" spans="1:23">
      <c r="A76" s="23" t="s">
        <v>242</v>
      </c>
      <c r="B76" s="106" t="s">
        <v>275</v>
      </c>
      <c r="C76" s="23" t="s">
        <v>274</v>
      </c>
      <c r="D76" s="23" t="s">
        <v>46</v>
      </c>
      <c r="E76" s="23" t="s">
        <v>90</v>
      </c>
      <c r="F76" s="23" t="s">
        <v>91</v>
      </c>
      <c r="G76" s="23" t="s">
        <v>244</v>
      </c>
      <c r="H76" s="23" t="s">
        <v>245</v>
      </c>
      <c r="I76" s="109">
        <v>4378968</v>
      </c>
      <c r="J76" s="109">
        <v>3341200</v>
      </c>
      <c r="K76" s="109">
        <v>3341200</v>
      </c>
      <c r="L76" s="109"/>
      <c r="M76" s="109"/>
      <c r="N76" s="109">
        <v>1037768</v>
      </c>
      <c r="O76" s="109"/>
      <c r="P76" s="109"/>
      <c r="Q76" s="109"/>
      <c r="R76" s="109"/>
      <c r="S76" s="109"/>
      <c r="T76" s="109"/>
      <c r="U76" s="87"/>
      <c r="V76" s="109"/>
      <c r="W76" s="109"/>
    </row>
    <row r="77" ht="32.9" customHeight="1" spans="1:23">
      <c r="A77" s="23" t="s">
        <v>242</v>
      </c>
      <c r="B77" s="106" t="s">
        <v>275</v>
      </c>
      <c r="C77" s="23" t="s">
        <v>274</v>
      </c>
      <c r="D77" s="23" t="s">
        <v>46</v>
      </c>
      <c r="E77" s="23" t="s">
        <v>90</v>
      </c>
      <c r="F77" s="23" t="s">
        <v>91</v>
      </c>
      <c r="G77" s="23" t="s">
        <v>229</v>
      </c>
      <c r="H77" s="23" t="s">
        <v>230</v>
      </c>
      <c r="I77" s="109">
        <v>188850</v>
      </c>
      <c r="J77" s="109"/>
      <c r="K77" s="109"/>
      <c r="L77" s="109"/>
      <c r="M77" s="109"/>
      <c r="N77" s="109">
        <v>188850</v>
      </c>
      <c r="O77" s="109"/>
      <c r="P77" s="109"/>
      <c r="Q77" s="109"/>
      <c r="R77" s="109"/>
      <c r="S77" s="109"/>
      <c r="T77" s="109"/>
      <c r="U77" s="87"/>
      <c r="V77" s="109"/>
      <c r="W77" s="109"/>
    </row>
    <row r="78" ht="32.9" customHeight="1" spans="1:23">
      <c r="A78" s="23"/>
      <c r="B78" s="23"/>
      <c r="C78" s="23" t="s">
        <v>276</v>
      </c>
      <c r="D78" s="23"/>
      <c r="E78" s="23"/>
      <c r="F78" s="23"/>
      <c r="G78" s="23"/>
      <c r="H78" s="23"/>
      <c r="I78" s="109">
        <v>4450000</v>
      </c>
      <c r="J78" s="109">
        <v>4450000</v>
      </c>
      <c r="K78" s="109">
        <v>4450000</v>
      </c>
      <c r="L78" s="109"/>
      <c r="M78" s="109"/>
      <c r="N78" s="109"/>
      <c r="O78" s="109"/>
      <c r="P78" s="109"/>
      <c r="Q78" s="109"/>
      <c r="R78" s="109"/>
      <c r="S78" s="109"/>
      <c r="T78" s="109"/>
      <c r="U78" s="87"/>
      <c r="V78" s="109"/>
      <c r="W78" s="109"/>
    </row>
    <row r="79" ht="32.9" customHeight="1" spans="1:23">
      <c r="A79" s="23" t="s">
        <v>252</v>
      </c>
      <c r="B79" s="106" t="s">
        <v>277</v>
      </c>
      <c r="C79" s="23" t="s">
        <v>276</v>
      </c>
      <c r="D79" s="23" t="s">
        <v>46</v>
      </c>
      <c r="E79" s="23" t="s">
        <v>70</v>
      </c>
      <c r="F79" s="23" t="s">
        <v>71</v>
      </c>
      <c r="G79" s="23" t="s">
        <v>215</v>
      </c>
      <c r="H79" s="23" t="s">
        <v>216</v>
      </c>
      <c r="I79" s="109">
        <v>4050000</v>
      </c>
      <c r="J79" s="109">
        <v>4050000</v>
      </c>
      <c r="K79" s="109">
        <v>4050000</v>
      </c>
      <c r="L79" s="109"/>
      <c r="M79" s="109"/>
      <c r="N79" s="109"/>
      <c r="O79" s="109"/>
      <c r="P79" s="109"/>
      <c r="Q79" s="109"/>
      <c r="R79" s="109"/>
      <c r="S79" s="109"/>
      <c r="T79" s="109"/>
      <c r="U79" s="87"/>
      <c r="V79" s="109"/>
      <c r="W79" s="109"/>
    </row>
    <row r="80" ht="32.9" customHeight="1" spans="1:23">
      <c r="A80" s="23" t="s">
        <v>252</v>
      </c>
      <c r="B80" s="106" t="s">
        <v>277</v>
      </c>
      <c r="C80" s="23" t="s">
        <v>276</v>
      </c>
      <c r="D80" s="23" t="s">
        <v>46</v>
      </c>
      <c r="E80" s="23" t="s">
        <v>70</v>
      </c>
      <c r="F80" s="23" t="s">
        <v>71</v>
      </c>
      <c r="G80" s="23" t="s">
        <v>244</v>
      </c>
      <c r="H80" s="23" t="s">
        <v>245</v>
      </c>
      <c r="I80" s="109">
        <v>400000</v>
      </c>
      <c r="J80" s="109">
        <v>400000</v>
      </c>
      <c r="K80" s="109">
        <v>400000</v>
      </c>
      <c r="L80" s="109"/>
      <c r="M80" s="109"/>
      <c r="N80" s="109"/>
      <c r="O80" s="109"/>
      <c r="P80" s="109"/>
      <c r="Q80" s="109"/>
      <c r="R80" s="109"/>
      <c r="S80" s="109"/>
      <c r="T80" s="109"/>
      <c r="U80" s="87"/>
      <c r="V80" s="109"/>
      <c r="W80" s="109"/>
    </row>
    <row r="81" ht="32.9" customHeight="1" spans="1:23">
      <c r="A81" s="23"/>
      <c r="B81" s="23"/>
      <c r="C81" s="23" t="s">
        <v>278</v>
      </c>
      <c r="D81" s="23"/>
      <c r="E81" s="23"/>
      <c r="F81" s="23"/>
      <c r="G81" s="23"/>
      <c r="H81" s="23"/>
      <c r="I81" s="109">
        <v>3400000</v>
      </c>
      <c r="J81" s="109"/>
      <c r="K81" s="109"/>
      <c r="L81" s="109"/>
      <c r="M81" s="109"/>
      <c r="N81" s="109"/>
      <c r="O81" s="109"/>
      <c r="P81" s="109"/>
      <c r="Q81" s="109"/>
      <c r="R81" s="109">
        <v>3400000</v>
      </c>
      <c r="S81" s="109"/>
      <c r="T81" s="109"/>
      <c r="U81" s="87">
        <v>3400000</v>
      </c>
      <c r="V81" s="109"/>
      <c r="W81" s="109"/>
    </row>
    <row r="82" ht="32.9" customHeight="1" spans="1:23">
      <c r="A82" s="23" t="s">
        <v>247</v>
      </c>
      <c r="B82" s="106" t="s">
        <v>279</v>
      </c>
      <c r="C82" s="23" t="s">
        <v>278</v>
      </c>
      <c r="D82" s="23" t="s">
        <v>46</v>
      </c>
      <c r="E82" s="23" t="s">
        <v>76</v>
      </c>
      <c r="F82" s="23" t="s">
        <v>77</v>
      </c>
      <c r="G82" s="23" t="s">
        <v>258</v>
      </c>
      <c r="H82" s="23" t="s">
        <v>259</v>
      </c>
      <c r="I82" s="109">
        <v>2500000</v>
      </c>
      <c r="J82" s="109"/>
      <c r="K82" s="109"/>
      <c r="L82" s="109"/>
      <c r="M82" s="109"/>
      <c r="N82" s="109"/>
      <c r="O82" s="109"/>
      <c r="P82" s="109"/>
      <c r="Q82" s="109"/>
      <c r="R82" s="109">
        <v>2500000</v>
      </c>
      <c r="S82" s="109"/>
      <c r="T82" s="109"/>
      <c r="U82" s="87">
        <v>2500000</v>
      </c>
      <c r="V82" s="109"/>
      <c r="W82" s="109"/>
    </row>
    <row r="83" ht="32.9" customHeight="1" spans="1:23">
      <c r="A83" s="23" t="s">
        <v>247</v>
      </c>
      <c r="B83" s="106" t="s">
        <v>279</v>
      </c>
      <c r="C83" s="23" t="s">
        <v>278</v>
      </c>
      <c r="D83" s="23" t="s">
        <v>46</v>
      </c>
      <c r="E83" s="23" t="s">
        <v>78</v>
      </c>
      <c r="F83" s="23" t="s">
        <v>79</v>
      </c>
      <c r="G83" s="23" t="s">
        <v>258</v>
      </c>
      <c r="H83" s="23" t="s">
        <v>259</v>
      </c>
      <c r="I83" s="109">
        <v>400000</v>
      </c>
      <c r="J83" s="109"/>
      <c r="K83" s="109"/>
      <c r="L83" s="109"/>
      <c r="M83" s="109"/>
      <c r="N83" s="109"/>
      <c r="O83" s="109"/>
      <c r="P83" s="109"/>
      <c r="Q83" s="109"/>
      <c r="R83" s="109">
        <v>400000</v>
      </c>
      <c r="S83" s="109"/>
      <c r="T83" s="109"/>
      <c r="U83" s="87">
        <v>400000</v>
      </c>
      <c r="V83" s="109"/>
      <c r="W83" s="109"/>
    </row>
    <row r="84" ht="32.9" customHeight="1" spans="1:23">
      <c r="A84" s="23" t="s">
        <v>247</v>
      </c>
      <c r="B84" s="106" t="s">
        <v>279</v>
      </c>
      <c r="C84" s="23" t="s">
        <v>278</v>
      </c>
      <c r="D84" s="23" t="s">
        <v>46</v>
      </c>
      <c r="E84" s="23" t="s">
        <v>86</v>
      </c>
      <c r="F84" s="23" t="s">
        <v>87</v>
      </c>
      <c r="G84" s="23" t="s">
        <v>244</v>
      </c>
      <c r="H84" s="23" t="s">
        <v>245</v>
      </c>
      <c r="I84" s="109">
        <v>500000</v>
      </c>
      <c r="J84" s="109"/>
      <c r="K84" s="109"/>
      <c r="L84" s="109"/>
      <c r="M84" s="109"/>
      <c r="N84" s="109"/>
      <c r="O84" s="109"/>
      <c r="P84" s="109"/>
      <c r="Q84" s="109"/>
      <c r="R84" s="109">
        <v>500000</v>
      </c>
      <c r="S84" s="109"/>
      <c r="T84" s="109"/>
      <c r="U84" s="87">
        <v>500000</v>
      </c>
      <c r="V84" s="109"/>
      <c r="W84" s="109"/>
    </row>
    <row r="85" ht="32.9" customHeight="1" spans="1:23">
      <c r="A85" s="23"/>
      <c r="B85" s="23"/>
      <c r="C85" s="23" t="s">
        <v>280</v>
      </c>
      <c r="D85" s="23"/>
      <c r="E85" s="23"/>
      <c r="F85" s="23"/>
      <c r="G85" s="23"/>
      <c r="H85" s="23"/>
      <c r="I85" s="109">
        <v>2000000</v>
      </c>
      <c r="J85" s="109">
        <v>2000000</v>
      </c>
      <c r="K85" s="109">
        <v>2000000</v>
      </c>
      <c r="L85" s="109"/>
      <c r="M85" s="109"/>
      <c r="N85" s="109"/>
      <c r="O85" s="109"/>
      <c r="P85" s="109"/>
      <c r="Q85" s="109"/>
      <c r="R85" s="109"/>
      <c r="S85" s="109"/>
      <c r="T85" s="109"/>
      <c r="U85" s="87"/>
      <c r="V85" s="109"/>
      <c r="W85" s="109"/>
    </row>
    <row r="86" ht="32.9" customHeight="1" spans="1:23">
      <c r="A86" s="23" t="s">
        <v>281</v>
      </c>
      <c r="B86" s="106" t="s">
        <v>282</v>
      </c>
      <c r="C86" s="23" t="s">
        <v>280</v>
      </c>
      <c r="D86" s="23" t="s">
        <v>46</v>
      </c>
      <c r="E86" s="23" t="s">
        <v>70</v>
      </c>
      <c r="F86" s="23" t="s">
        <v>71</v>
      </c>
      <c r="G86" s="23" t="s">
        <v>283</v>
      </c>
      <c r="H86" s="23" t="s">
        <v>284</v>
      </c>
      <c r="I86" s="109">
        <v>2000000</v>
      </c>
      <c r="J86" s="109">
        <v>2000000</v>
      </c>
      <c r="K86" s="109">
        <v>2000000</v>
      </c>
      <c r="L86" s="109"/>
      <c r="M86" s="109"/>
      <c r="N86" s="109"/>
      <c r="O86" s="109"/>
      <c r="P86" s="109"/>
      <c r="Q86" s="109"/>
      <c r="R86" s="109"/>
      <c r="S86" s="109"/>
      <c r="T86" s="109"/>
      <c r="U86" s="87"/>
      <c r="V86" s="109"/>
      <c r="W86" s="109"/>
    </row>
    <row r="87" ht="32.9" customHeight="1" spans="1:23">
      <c r="A87" s="23"/>
      <c r="B87" s="23"/>
      <c r="C87" s="23" t="s">
        <v>285</v>
      </c>
      <c r="D87" s="23"/>
      <c r="E87" s="23"/>
      <c r="F87" s="23"/>
      <c r="G87" s="23"/>
      <c r="H87" s="23"/>
      <c r="I87" s="109">
        <v>9529900</v>
      </c>
      <c r="J87" s="109">
        <v>9529900</v>
      </c>
      <c r="K87" s="109">
        <v>9529900</v>
      </c>
      <c r="L87" s="109"/>
      <c r="M87" s="109"/>
      <c r="N87" s="109"/>
      <c r="O87" s="109"/>
      <c r="P87" s="109"/>
      <c r="Q87" s="109"/>
      <c r="R87" s="109"/>
      <c r="S87" s="109"/>
      <c r="T87" s="109"/>
      <c r="U87" s="87"/>
      <c r="V87" s="109"/>
      <c r="W87" s="109"/>
    </row>
    <row r="88" ht="32.9" customHeight="1" spans="1:23">
      <c r="A88" s="23" t="s">
        <v>286</v>
      </c>
      <c r="B88" s="106" t="s">
        <v>287</v>
      </c>
      <c r="C88" s="23" t="s">
        <v>285</v>
      </c>
      <c r="D88" s="23" t="s">
        <v>46</v>
      </c>
      <c r="E88" s="23" t="s">
        <v>84</v>
      </c>
      <c r="F88" s="23" t="s">
        <v>85</v>
      </c>
      <c r="G88" s="23" t="s">
        <v>219</v>
      </c>
      <c r="H88" s="23" t="s">
        <v>220</v>
      </c>
      <c r="I88" s="109">
        <v>9155400</v>
      </c>
      <c r="J88" s="109">
        <v>9155400</v>
      </c>
      <c r="K88" s="109">
        <v>9155400</v>
      </c>
      <c r="L88" s="109"/>
      <c r="M88" s="109"/>
      <c r="N88" s="109"/>
      <c r="O88" s="109"/>
      <c r="P88" s="109"/>
      <c r="Q88" s="109"/>
      <c r="R88" s="109"/>
      <c r="S88" s="109"/>
      <c r="T88" s="109"/>
      <c r="U88" s="87"/>
      <c r="V88" s="109"/>
      <c r="W88" s="109"/>
    </row>
    <row r="89" ht="32.9" customHeight="1" spans="1:23">
      <c r="A89" s="23" t="s">
        <v>286</v>
      </c>
      <c r="B89" s="106" t="s">
        <v>287</v>
      </c>
      <c r="C89" s="23" t="s">
        <v>285</v>
      </c>
      <c r="D89" s="23" t="s">
        <v>46</v>
      </c>
      <c r="E89" s="23" t="s">
        <v>84</v>
      </c>
      <c r="F89" s="23" t="s">
        <v>85</v>
      </c>
      <c r="G89" s="23" t="s">
        <v>244</v>
      </c>
      <c r="H89" s="23" t="s">
        <v>245</v>
      </c>
      <c r="I89" s="109">
        <v>374500</v>
      </c>
      <c r="J89" s="109">
        <v>374500</v>
      </c>
      <c r="K89" s="109">
        <v>374500</v>
      </c>
      <c r="L89" s="109"/>
      <c r="M89" s="109"/>
      <c r="N89" s="109"/>
      <c r="O89" s="109"/>
      <c r="P89" s="109"/>
      <c r="Q89" s="109"/>
      <c r="R89" s="109"/>
      <c r="S89" s="109"/>
      <c r="T89" s="109"/>
      <c r="U89" s="87"/>
      <c r="V89" s="109"/>
      <c r="W89" s="109"/>
    </row>
    <row r="90" ht="18.75" customHeight="1" spans="1:23">
      <c r="A90" s="30" t="s">
        <v>119</v>
      </c>
      <c r="B90" s="31"/>
      <c r="C90" s="31"/>
      <c r="D90" s="31"/>
      <c r="E90" s="31"/>
      <c r="F90" s="31"/>
      <c r="G90" s="31"/>
      <c r="H90" s="32"/>
      <c r="I90" s="109">
        <v>267420740.01</v>
      </c>
      <c r="J90" s="109">
        <v>187593100</v>
      </c>
      <c r="K90" s="109">
        <v>155293100</v>
      </c>
      <c r="L90" s="109"/>
      <c r="M90" s="109"/>
      <c r="N90" s="109">
        <v>76427640.01</v>
      </c>
      <c r="O90" s="109"/>
      <c r="P90" s="109"/>
      <c r="Q90" s="109"/>
      <c r="R90" s="109">
        <v>3400000</v>
      </c>
      <c r="S90" s="109"/>
      <c r="T90" s="109"/>
      <c r="U90" s="87">
        <v>3400000</v>
      </c>
      <c r="V90" s="109"/>
      <c r="W90" s="109"/>
    </row>
  </sheetData>
  <mergeCells count="28">
    <mergeCell ref="A2:W2"/>
    <mergeCell ref="A3:I3"/>
    <mergeCell ref="J4:M4"/>
    <mergeCell ref="N4:P4"/>
    <mergeCell ref="R4:W4"/>
    <mergeCell ref="J5:K5"/>
    <mergeCell ref="A90:H90"/>
    <mergeCell ref="A4:A6"/>
    <mergeCell ref="B4:B6"/>
    <mergeCell ref="C4:C6"/>
    <mergeCell ref="D4:D6"/>
    <mergeCell ref="E4:E6"/>
    <mergeCell ref="F4:F6"/>
    <mergeCell ref="G4:G6"/>
    <mergeCell ref="H4:H6"/>
    <mergeCell ref="I4:I6"/>
    <mergeCell ref="L5:L6"/>
    <mergeCell ref="M5:M6"/>
    <mergeCell ref="N5:N6"/>
    <mergeCell ref="O5:O6"/>
    <mergeCell ref="P5:P6"/>
    <mergeCell ref="Q4:Q6"/>
    <mergeCell ref="R5:R6"/>
    <mergeCell ref="S5:S6"/>
    <mergeCell ref="T5:T6"/>
    <mergeCell ref="U5:U6"/>
    <mergeCell ref="V5:V6"/>
    <mergeCell ref="W5:W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J96"/>
  <sheetViews>
    <sheetView showZeros="0" workbookViewId="0">
      <selection activeCell="A1" sqref="A1"/>
    </sheetView>
  </sheetViews>
  <sheetFormatPr defaultColWidth="9.13888888888889" defaultRowHeight="12" customHeight="1"/>
  <cols>
    <col min="1" max="1" width="34.2777777777778" customWidth="1"/>
    <col min="2" max="2" width="29" customWidth="1"/>
    <col min="3" max="3" width="17.1759259259259" customWidth="1"/>
    <col min="4" max="4" width="21.0277777777778" customWidth="1"/>
    <col min="5" max="5" width="23.5740740740741" customWidth="1"/>
    <col min="6" max="6" width="11.2777777777778" customWidth="1"/>
    <col min="7" max="7" width="10.3148148148148" customWidth="1"/>
    <col min="8" max="8" width="9.31481481481481" customWidth="1"/>
    <col min="9" max="9" width="13.4259259259259" customWidth="1"/>
    <col min="10" max="10" width="27.4537037037037" customWidth="1"/>
  </cols>
  <sheetData>
    <row r="1" customHeight="1" spans="10:10">
      <c r="J1" s="52" t="s">
        <v>288</v>
      </c>
    </row>
    <row r="2" ht="28.5" customHeight="1" spans="1:10">
      <c r="A2" s="42" t="s">
        <v>289</v>
      </c>
      <c r="B2" s="27"/>
      <c r="C2" s="27"/>
      <c r="D2" s="27"/>
      <c r="E2" s="27"/>
      <c r="F2" s="43"/>
      <c r="G2" s="27"/>
      <c r="H2" s="43"/>
      <c r="I2" s="43"/>
      <c r="J2" s="27"/>
    </row>
    <row r="3" ht="15" customHeight="1" spans="1:1">
      <c r="A3" s="4" t="str">
        <f>"单位名称："&amp;"云南省文化和旅游厅"</f>
        <v>单位名称：云南省文化和旅游厅</v>
      </c>
    </row>
    <row r="4" ht="14.25" customHeight="1" spans="1:10">
      <c r="A4" s="44" t="s">
        <v>290</v>
      </c>
      <c r="B4" s="44" t="s">
        <v>291</v>
      </c>
      <c r="C4" s="44" t="s">
        <v>292</v>
      </c>
      <c r="D4" s="44" t="s">
        <v>293</v>
      </c>
      <c r="E4" s="44" t="s">
        <v>294</v>
      </c>
      <c r="F4" s="45" t="s">
        <v>295</v>
      </c>
      <c r="G4" s="44" t="s">
        <v>296</v>
      </c>
      <c r="H4" s="45" t="s">
        <v>297</v>
      </c>
      <c r="I4" s="45" t="s">
        <v>298</v>
      </c>
      <c r="J4" s="44" t="s">
        <v>299</v>
      </c>
    </row>
    <row r="5" ht="14.25" customHeight="1" spans="1:10">
      <c r="A5" s="44">
        <v>1</v>
      </c>
      <c r="B5" s="44">
        <v>2</v>
      </c>
      <c r="C5" s="44">
        <v>3</v>
      </c>
      <c r="D5" s="44">
        <v>4</v>
      </c>
      <c r="E5" s="44">
        <v>5</v>
      </c>
      <c r="F5" s="45">
        <v>6</v>
      </c>
      <c r="G5" s="44">
        <v>7</v>
      </c>
      <c r="H5" s="45">
        <v>8</v>
      </c>
      <c r="I5" s="45">
        <v>9</v>
      </c>
      <c r="J5" s="44">
        <v>10</v>
      </c>
    </row>
    <row r="6" ht="15" customHeight="1" spans="1:10">
      <c r="A6" s="46" t="s">
        <v>46</v>
      </c>
      <c r="B6" s="47"/>
      <c r="C6" s="47"/>
      <c r="D6" s="47"/>
      <c r="E6" s="48"/>
      <c r="F6" s="49"/>
      <c r="G6" s="48"/>
      <c r="H6" s="49"/>
      <c r="I6" s="49"/>
      <c r="J6" s="48"/>
    </row>
    <row r="7" ht="33.75" customHeight="1" spans="1:10">
      <c r="A7" s="50" t="s">
        <v>278</v>
      </c>
      <c r="B7" s="51" t="s">
        <v>300</v>
      </c>
      <c r="C7" s="51" t="s">
        <v>301</v>
      </c>
      <c r="D7" s="51" t="s">
        <v>302</v>
      </c>
      <c r="E7" s="46" t="s">
        <v>303</v>
      </c>
      <c r="F7" s="51" t="s">
        <v>304</v>
      </c>
      <c r="G7" s="46" t="s">
        <v>139</v>
      </c>
      <c r="H7" s="51" t="s">
        <v>305</v>
      </c>
      <c r="I7" s="51" t="s">
        <v>306</v>
      </c>
      <c r="J7" s="46" t="s">
        <v>307</v>
      </c>
    </row>
    <row r="8" ht="33.75" customHeight="1" spans="1:10">
      <c r="A8" s="50" t="s">
        <v>278</v>
      </c>
      <c r="B8" s="51" t="s">
        <v>300</v>
      </c>
      <c r="C8" s="51" t="s">
        <v>301</v>
      </c>
      <c r="D8" s="51" t="s">
        <v>308</v>
      </c>
      <c r="E8" s="46" t="s">
        <v>309</v>
      </c>
      <c r="F8" s="51" t="s">
        <v>310</v>
      </c>
      <c r="G8" s="46" t="s">
        <v>311</v>
      </c>
      <c r="H8" s="51" t="s">
        <v>312</v>
      </c>
      <c r="I8" s="51" t="s">
        <v>313</v>
      </c>
      <c r="J8" s="46" t="s">
        <v>309</v>
      </c>
    </row>
    <row r="9" ht="33.75" customHeight="1" spans="1:10">
      <c r="A9" s="50" t="s">
        <v>278</v>
      </c>
      <c r="B9" s="51" t="s">
        <v>300</v>
      </c>
      <c r="C9" s="51" t="s">
        <v>314</v>
      </c>
      <c r="D9" s="51" t="s">
        <v>315</v>
      </c>
      <c r="E9" s="46" t="s">
        <v>316</v>
      </c>
      <c r="F9" s="51" t="s">
        <v>304</v>
      </c>
      <c r="G9" s="46" t="s">
        <v>317</v>
      </c>
      <c r="H9" s="51" t="s">
        <v>318</v>
      </c>
      <c r="I9" s="51" t="s">
        <v>306</v>
      </c>
      <c r="J9" s="46" t="s">
        <v>319</v>
      </c>
    </row>
    <row r="10" ht="33.75" customHeight="1" spans="1:10">
      <c r="A10" s="50" t="s">
        <v>278</v>
      </c>
      <c r="B10" s="51" t="s">
        <v>300</v>
      </c>
      <c r="C10" s="51" t="s">
        <v>320</v>
      </c>
      <c r="D10" s="51" t="s">
        <v>321</v>
      </c>
      <c r="E10" s="46" t="s">
        <v>322</v>
      </c>
      <c r="F10" s="51" t="s">
        <v>304</v>
      </c>
      <c r="G10" s="46" t="s">
        <v>323</v>
      </c>
      <c r="H10" s="51" t="s">
        <v>324</v>
      </c>
      <c r="I10" s="51" t="s">
        <v>306</v>
      </c>
      <c r="J10" s="46" t="s">
        <v>325</v>
      </c>
    </row>
    <row r="11" ht="33.75" customHeight="1" spans="1:10">
      <c r="A11" s="50" t="s">
        <v>260</v>
      </c>
      <c r="B11" s="51" t="s">
        <v>326</v>
      </c>
      <c r="C11" s="51" t="s">
        <v>301</v>
      </c>
      <c r="D11" s="51" t="s">
        <v>302</v>
      </c>
      <c r="E11" s="46" t="s">
        <v>327</v>
      </c>
      <c r="F11" s="51" t="s">
        <v>304</v>
      </c>
      <c r="G11" s="46" t="s">
        <v>323</v>
      </c>
      <c r="H11" s="51" t="s">
        <v>328</v>
      </c>
      <c r="I11" s="51" t="s">
        <v>306</v>
      </c>
      <c r="J11" s="46" t="s">
        <v>329</v>
      </c>
    </row>
    <row r="12" ht="33.75" customHeight="1" spans="1:10">
      <c r="A12" s="50" t="s">
        <v>260</v>
      </c>
      <c r="B12" s="51" t="s">
        <v>326</v>
      </c>
      <c r="C12" s="51" t="s">
        <v>301</v>
      </c>
      <c r="D12" s="51" t="s">
        <v>302</v>
      </c>
      <c r="E12" s="46" t="s">
        <v>330</v>
      </c>
      <c r="F12" s="51" t="s">
        <v>304</v>
      </c>
      <c r="G12" s="46" t="s">
        <v>331</v>
      </c>
      <c r="H12" s="51" t="s">
        <v>328</v>
      </c>
      <c r="I12" s="51" t="s">
        <v>306</v>
      </c>
      <c r="J12" s="46" t="s">
        <v>329</v>
      </c>
    </row>
    <row r="13" ht="33.75" customHeight="1" spans="1:10">
      <c r="A13" s="50" t="s">
        <v>260</v>
      </c>
      <c r="B13" s="51" t="s">
        <v>326</v>
      </c>
      <c r="C13" s="51" t="s">
        <v>301</v>
      </c>
      <c r="D13" s="51" t="s">
        <v>302</v>
      </c>
      <c r="E13" s="46" t="s">
        <v>332</v>
      </c>
      <c r="F13" s="51" t="s">
        <v>310</v>
      </c>
      <c r="G13" s="46" t="s">
        <v>333</v>
      </c>
      <c r="H13" s="51" t="s">
        <v>334</v>
      </c>
      <c r="I13" s="51" t="s">
        <v>306</v>
      </c>
      <c r="J13" s="46" t="s">
        <v>335</v>
      </c>
    </row>
    <row r="14" ht="33.75" customHeight="1" spans="1:10">
      <c r="A14" s="50" t="s">
        <v>260</v>
      </c>
      <c r="B14" s="51" t="s">
        <v>326</v>
      </c>
      <c r="C14" s="51" t="s">
        <v>301</v>
      </c>
      <c r="D14" s="51" t="s">
        <v>302</v>
      </c>
      <c r="E14" s="46" t="s">
        <v>336</v>
      </c>
      <c r="F14" s="51" t="s">
        <v>310</v>
      </c>
      <c r="G14" s="46" t="s">
        <v>333</v>
      </c>
      <c r="H14" s="51" t="s">
        <v>334</v>
      </c>
      <c r="I14" s="51" t="s">
        <v>306</v>
      </c>
      <c r="J14" s="46" t="s">
        <v>337</v>
      </c>
    </row>
    <row r="15" ht="33.75" customHeight="1" spans="1:10">
      <c r="A15" s="50" t="s">
        <v>260</v>
      </c>
      <c r="B15" s="51" t="s">
        <v>326</v>
      </c>
      <c r="C15" s="51" t="s">
        <v>301</v>
      </c>
      <c r="D15" s="51" t="s">
        <v>302</v>
      </c>
      <c r="E15" s="46" t="s">
        <v>338</v>
      </c>
      <c r="F15" s="51" t="s">
        <v>304</v>
      </c>
      <c r="G15" s="46" t="s">
        <v>138</v>
      </c>
      <c r="H15" s="51" t="s">
        <v>305</v>
      </c>
      <c r="I15" s="51" t="s">
        <v>306</v>
      </c>
      <c r="J15" s="46" t="s">
        <v>339</v>
      </c>
    </row>
    <row r="16" ht="33.75" customHeight="1" spans="1:10">
      <c r="A16" s="50" t="s">
        <v>260</v>
      </c>
      <c r="B16" s="51" t="s">
        <v>326</v>
      </c>
      <c r="C16" s="51" t="s">
        <v>301</v>
      </c>
      <c r="D16" s="51" t="s">
        <v>302</v>
      </c>
      <c r="E16" s="46" t="s">
        <v>340</v>
      </c>
      <c r="F16" s="51" t="s">
        <v>304</v>
      </c>
      <c r="G16" s="46" t="s">
        <v>137</v>
      </c>
      <c r="H16" s="51" t="s">
        <v>334</v>
      </c>
      <c r="I16" s="51" t="s">
        <v>306</v>
      </c>
      <c r="J16" s="46" t="s">
        <v>341</v>
      </c>
    </row>
    <row r="17" ht="33.75" customHeight="1" spans="1:10">
      <c r="A17" s="50" t="s">
        <v>260</v>
      </c>
      <c r="B17" s="51" t="s">
        <v>326</v>
      </c>
      <c r="C17" s="51" t="s">
        <v>301</v>
      </c>
      <c r="D17" s="51" t="s">
        <v>302</v>
      </c>
      <c r="E17" s="46" t="s">
        <v>342</v>
      </c>
      <c r="F17" s="51" t="s">
        <v>304</v>
      </c>
      <c r="G17" s="46" t="s">
        <v>333</v>
      </c>
      <c r="H17" s="51" t="s">
        <v>334</v>
      </c>
      <c r="I17" s="51" t="s">
        <v>306</v>
      </c>
      <c r="J17" s="46" t="s">
        <v>343</v>
      </c>
    </row>
    <row r="18" ht="33.75" customHeight="1" spans="1:10">
      <c r="A18" s="50" t="s">
        <v>260</v>
      </c>
      <c r="B18" s="51" t="s">
        <v>326</v>
      </c>
      <c r="C18" s="51" t="s">
        <v>301</v>
      </c>
      <c r="D18" s="51" t="s">
        <v>302</v>
      </c>
      <c r="E18" s="46" t="s">
        <v>344</v>
      </c>
      <c r="F18" s="51" t="s">
        <v>304</v>
      </c>
      <c r="G18" s="46" t="s">
        <v>345</v>
      </c>
      <c r="H18" s="51" t="s">
        <v>305</v>
      </c>
      <c r="I18" s="51" t="s">
        <v>306</v>
      </c>
      <c r="J18" s="46" t="s">
        <v>346</v>
      </c>
    </row>
    <row r="19" ht="33.75" customHeight="1" spans="1:10">
      <c r="A19" s="50" t="s">
        <v>260</v>
      </c>
      <c r="B19" s="51" t="s">
        <v>326</v>
      </c>
      <c r="C19" s="51" t="s">
        <v>301</v>
      </c>
      <c r="D19" s="51" t="s">
        <v>308</v>
      </c>
      <c r="E19" s="46" t="s">
        <v>347</v>
      </c>
      <c r="F19" s="51" t="s">
        <v>348</v>
      </c>
      <c r="G19" s="46" t="s">
        <v>349</v>
      </c>
      <c r="H19" s="51" t="s">
        <v>312</v>
      </c>
      <c r="I19" s="51" t="s">
        <v>313</v>
      </c>
      <c r="J19" s="46" t="s">
        <v>350</v>
      </c>
    </row>
    <row r="20" ht="33.75" customHeight="1" spans="1:10">
      <c r="A20" s="50" t="s">
        <v>260</v>
      </c>
      <c r="B20" s="51" t="s">
        <v>326</v>
      </c>
      <c r="C20" s="51" t="s">
        <v>314</v>
      </c>
      <c r="D20" s="51" t="s">
        <v>315</v>
      </c>
      <c r="E20" s="46" t="s">
        <v>351</v>
      </c>
      <c r="F20" s="51" t="s">
        <v>304</v>
      </c>
      <c r="G20" s="46" t="s">
        <v>352</v>
      </c>
      <c r="H20" s="51" t="s">
        <v>324</v>
      </c>
      <c r="I20" s="51" t="s">
        <v>306</v>
      </c>
      <c r="J20" s="46" t="s">
        <v>353</v>
      </c>
    </row>
    <row r="21" ht="33.75" customHeight="1" spans="1:10">
      <c r="A21" s="50" t="s">
        <v>260</v>
      </c>
      <c r="B21" s="51" t="s">
        <v>326</v>
      </c>
      <c r="C21" s="51" t="s">
        <v>314</v>
      </c>
      <c r="D21" s="51" t="s">
        <v>315</v>
      </c>
      <c r="E21" s="46" t="s">
        <v>354</v>
      </c>
      <c r="F21" s="51" t="s">
        <v>304</v>
      </c>
      <c r="G21" s="46" t="s">
        <v>355</v>
      </c>
      <c r="H21" s="51" t="s">
        <v>356</v>
      </c>
      <c r="I21" s="51" t="s">
        <v>306</v>
      </c>
      <c r="J21" s="46" t="s">
        <v>357</v>
      </c>
    </row>
    <row r="22" ht="33.75" customHeight="1" spans="1:10">
      <c r="A22" s="50" t="s">
        <v>260</v>
      </c>
      <c r="B22" s="51" t="s">
        <v>326</v>
      </c>
      <c r="C22" s="51" t="s">
        <v>320</v>
      </c>
      <c r="D22" s="51" t="s">
        <v>321</v>
      </c>
      <c r="E22" s="46" t="s">
        <v>358</v>
      </c>
      <c r="F22" s="51" t="s">
        <v>304</v>
      </c>
      <c r="G22" s="46" t="s">
        <v>359</v>
      </c>
      <c r="H22" s="51" t="s">
        <v>324</v>
      </c>
      <c r="I22" s="51" t="s">
        <v>306</v>
      </c>
      <c r="J22" s="46" t="s">
        <v>360</v>
      </c>
    </row>
    <row r="23" ht="33.75" customHeight="1" spans="1:10">
      <c r="A23" s="50" t="s">
        <v>260</v>
      </c>
      <c r="B23" s="51" t="s">
        <v>326</v>
      </c>
      <c r="C23" s="51" t="s">
        <v>320</v>
      </c>
      <c r="D23" s="51" t="s">
        <v>321</v>
      </c>
      <c r="E23" s="46" t="s">
        <v>361</v>
      </c>
      <c r="F23" s="51" t="s">
        <v>304</v>
      </c>
      <c r="G23" s="46" t="s">
        <v>359</v>
      </c>
      <c r="H23" s="51" t="s">
        <v>324</v>
      </c>
      <c r="I23" s="51" t="s">
        <v>306</v>
      </c>
      <c r="J23" s="46" t="s">
        <v>362</v>
      </c>
    </row>
    <row r="24" ht="33.75" customHeight="1" spans="1:10">
      <c r="A24" s="50" t="s">
        <v>272</v>
      </c>
      <c r="B24" s="51" t="s">
        <v>363</v>
      </c>
      <c r="C24" s="51" t="s">
        <v>301</v>
      </c>
      <c r="D24" s="51" t="s">
        <v>302</v>
      </c>
      <c r="E24" s="46" t="s">
        <v>364</v>
      </c>
      <c r="F24" s="51" t="s">
        <v>304</v>
      </c>
      <c r="G24" s="46" t="s">
        <v>333</v>
      </c>
      <c r="H24" s="51" t="s">
        <v>365</v>
      </c>
      <c r="I24" s="51" t="s">
        <v>306</v>
      </c>
      <c r="J24" s="46" t="s">
        <v>366</v>
      </c>
    </row>
    <row r="25" ht="33.75" customHeight="1" spans="1:10">
      <c r="A25" s="50" t="s">
        <v>272</v>
      </c>
      <c r="B25" s="51" t="s">
        <v>363</v>
      </c>
      <c r="C25" s="51" t="s">
        <v>301</v>
      </c>
      <c r="D25" s="51" t="s">
        <v>302</v>
      </c>
      <c r="E25" s="46" t="s">
        <v>367</v>
      </c>
      <c r="F25" s="51" t="s">
        <v>304</v>
      </c>
      <c r="G25" s="46" t="s">
        <v>352</v>
      </c>
      <c r="H25" s="51" t="s">
        <v>324</v>
      </c>
      <c r="I25" s="51" t="s">
        <v>306</v>
      </c>
      <c r="J25" s="46" t="s">
        <v>368</v>
      </c>
    </row>
    <row r="26" ht="33.75" customHeight="1" spans="1:10">
      <c r="A26" s="50" t="s">
        <v>272</v>
      </c>
      <c r="B26" s="51" t="s">
        <v>363</v>
      </c>
      <c r="C26" s="51" t="s">
        <v>301</v>
      </c>
      <c r="D26" s="51" t="s">
        <v>302</v>
      </c>
      <c r="E26" s="46" t="s">
        <v>369</v>
      </c>
      <c r="F26" s="51" t="s">
        <v>304</v>
      </c>
      <c r="G26" s="46" t="s">
        <v>139</v>
      </c>
      <c r="H26" s="51" t="s">
        <v>305</v>
      </c>
      <c r="I26" s="51" t="s">
        <v>306</v>
      </c>
      <c r="J26" s="46" t="s">
        <v>370</v>
      </c>
    </row>
    <row r="27" ht="33.75" customHeight="1" spans="1:10">
      <c r="A27" s="50" t="s">
        <v>272</v>
      </c>
      <c r="B27" s="51" t="s">
        <v>363</v>
      </c>
      <c r="C27" s="51" t="s">
        <v>301</v>
      </c>
      <c r="D27" s="51" t="s">
        <v>302</v>
      </c>
      <c r="E27" s="46" t="s">
        <v>371</v>
      </c>
      <c r="F27" s="51" t="s">
        <v>304</v>
      </c>
      <c r="G27" s="46" t="s">
        <v>137</v>
      </c>
      <c r="H27" s="51" t="s">
        <v>365</v>
      </c>
      <c r="I27" s="51" t="s">
        <v>306</v>
      </c>
      <c r="J27" s="46" t="s">
        <v>372</v>
      </c>
    </row>
    <row r="28" ht="33.75" customHeight="1" spans="1:10">
      <c r="A28" s="50" t="s">
        <v>272</v>
      </c>
      <c r="B28" s="51" t="s">
        <v>363</v>
      </c>
      <c r="C28" s="51" t="s">
        <v>314</v>
      </c>
      <c r="D28" s="51" t="s">
        <v>315</v>
      </c>
      <c r="E28" s="46" t="s">
        <v>373</v>
      </c>
      <c r="F28" s="51" t="s">
        <v>304</v>
      </c>
      <c r="G28" s="46" t="s">
        <v>374</v>
      </c>
      <c r="H28" s="51" t="s">
        <v>356</v>
      </c>
      <c r="I28" s="51" t="s">
        <v>306</v>
      </c>
      <c r="J28" s="46" t="s">
        <v>375</v>
      </c>
    </row>
    <row r="29" ht="33.75" customHeight="1" spans="1:10">
      <c r="A29" s="50" t="s">
        <v>272</v>
      </c>
      <c r="B29" s="51" t="s">
        <v>363</v>
      </c>
      <c r="C29" s="51" t="s">
        <v>320</v>
      </c>
      <c r="D29" s="51" t="s">
        <v>321</v>
      </c>
      <c r="E29" s="46" t="s">
        <v>358</v>
      </c>
      <c r="F29" s="51" t="s">
        <v>304</v>
      </c>
      <c r="G29" s="46" t="s">
        <v>376</v>
      </c>
      <c r="H29" s="51" t="s">
        <v>324</v>
      </c>
      <c r="I29" s="51" t="s">
        <v>306</v>
      </c>
      <c r="J29" s="46" t="s">
        <v>377</v>
      </c>
    </row>
    <row r="30" ht="33.75" customHeight="1" spans="1:10">
      <c r="A30" s="50" t="s">
        <v>270</v>
      </c>
      <c r="B30" s="51" t="s">
        <v>378</v>
      </c>
      <c r="C30" s="51" t="s">
        <v>301</v>
      </c>
      <c r="D30" s="51" t="s">
        <v>302</v>
      </c>
      <c r="E30" s="46" t="s">
        <v>379</v>
      </c>
      <c r="F30" s="51" t="s">
        <v>304</v>
      </c>
      <c r="G30" s="46" t="s">
        <v>380</v>
      </c>
      <c r="H30" s="51" t="s">
        <v>328</v>
      </c>
      <c r="I30" s="51" t="s">
        <v>306</v>
      </c>
      <c r="J30" s="46" t="s">
        <v>381</v>
      </c>
    </row>
    <row r="31" ht="33.75" customHeight="1" spans="1:10">
      <c r="A31" s="50" t="s">
        <v>270</v>
      </c>
      <c r="B31" s="51" t="s">
        <v>378</v>
      </c>
      <c r="C31" s="51" t="s">
        <v>301</v>
      </c>
      <c r="D31" s="51" t="s">
        <v>302</v>
      </c>
      <c r="E31" s="46" t="s">
        <v>357</v>
      </c>
      <c r="F31" s="51" t="s">
        <v>304</v>
      </c>
      <c r="G31" s="46" t="s">
        <v>317</v>
      </c>
      <c r="H31" s="51" t="s">
        <v>356</v>
      </c>
      <c r="I31" s="51" t="s">
        <v>306</v>
      </c>
      <c r="J31" s="46" t="s">
        <v>382</v>
      </c>
    </row>
    <row r="32" ht="33.75" customHeight="1" spans="1:10">
      <c r="A32" s="50" t="s">
        <v>270</v>
      </c>
      <c r="B32" s="51" t="s">
        <v>378</v>
      </c>
      <c r="C32" s="51" t="s">
        <v>301</v>
      </c>
      <c r="D32" s="51" t="s">
        <v>308</v>
      </c>
      <c r="E32" s="46" t="s">
        <v>383</v>
      </c>
      <c r="F32" s="51" t="s">
        <v>304</v>
      </c>
      <c r="G32" s="46" t="s">
        <v>376</v>
      </c>
      <c r="H32" s="51" t="s">
        <v>324</v>
      </c>
      <c r="I32" s="51" t="s">
        <v>306</v>
      </c>
      <c r="J32" s="46" t="s">
        <v>384</v>
      </c>
    </row>
    <row r="33" ht="33.75" customHeight="1" spans="1:10">
      <c r="A33" s="50" t="s">
        <v>270</v>
      </c>
      <c r="B33" s="51" t="s">
        <v>378</v>
      </c>
      <c r="C33" s="51" t="s">
        <v>314</v>
      </c>
      <c r="D33" s="51" t="s">
        <v>315</v>
      </c>
      <c r="E33" s="46" t="s">
        <v>385</v>
      </c>
      <c r="F33" s="51" t="s">
        <v>304</v>
      </c>
      <c r="G33" s="46" t="s">
        <v>323</v>
      </c>
      <c r="H33" s="51" t="s">
        <v>324</v>
      </c>
      <c r="I33" s="51" t="s">
        <v>306</v>
      </c>
      <c r="J33" s="46" t="s">
        <v>386</v>
      </c>
    </row>
    <row r="34" ht="33.75" customHeight="1" spans="1:10">
      <c r="A34" s="50" t="s">
        <v>270</v>
      </c>
      <c r="B34" s="51" t="s">
        <v>378</v>
      </c>
      <c r="C34" s="51" t="s">
        <v>320</v>
      </c>
      <c r="D34" s="51" t="s">
        <v>321</v>
      </c>
      <c r="E34" s="46" t="s">
        <v>358</v>
      </c>
      <c r="F34" s="51" t="s">
        <v>304</v>
      </c>
      <c r="G34" s="46" t="s">
        <v>376</v>
      </c>
      <c r="H34" s="51" t="s">
        <v>324</v>
      </c>
      <c r="I34" s="51" t="s">
        <v>306</v>
      </c>
      <c r="J34" s="46" t="s">
        <v>387</v>
      </c>
    </row>
    <row r="35" ht="33.75" customHeight="1" spans="1:10">
      <c r="A35" s="50" t="s">
        <v>254</v>
      </c>
      <c r="B35" s="51" t="s">
        <v>388</v>
      </c>
      <c r="C35" s="51" t="s">
        <v>301</v>
      </c>
      <c r="D35" s="51" t="s">
        <v>302</v>
      </c>
      <c r="E35" s="46" t="s">
        <v>389</v>
      </c>
      <c r="F35" s="51" t="s">
        <v>304</v>
      </c>
      <c r="G35" s="46" t="s">
        <v>390</v>
      </c>
      <c r="H35" s="51" t="s">
        <v>356</v>
      </c>
      <c r="I35" s="51" t="s">
        <v>306</v>
      </c>
      <c r="J35" s="46" t="s">
        <v>391</v>
      </c>
    </row>
    <row r="36" ht="33.75" customHeight="1" spans="1:10">
      <c r="A36" s="50" t="s">
        <v>254</v>
      </c>
      <c r="B36" s="51" t="s">
        <v>388</v>
      </c>
      <c r="C36" s="51" t="s">
        <v>301</v>
      </c>
      <c r="D36" s="51" t="s">
        <v>392</v>
      </c>
      <c r="E36" s="46" t="s">
        <v>393</v>
      </c>
      <c r="F36" s="51" t="s">
        <v>304</v>
      </c>
      <c r="G36" s="46" t="s">
        <v>345</v>
      </c>
      <c r="H36" s="51" t="s">
        <v>324</v>
      </c>
      <c r="I36" s="51" t="s">
        <v>306</v>
      </c>
      <c r="J36" s="46" t="s">
        <v>394</v>
      </c>
    </row>
    <row r="37" ht="33.75" customHeight="1" spans="1:10">
      <c r="A37" s="50" t="s">
        <v>254</v>
      </c>
      <c r="B37" s="51" t="s">
        <v>388</v>
      </c>
      <c r="C37" s="51" t="s">
        <v>301</v>
      </c>
      <c r="D37" s="51" t="s">
        <v>308</v>
      </c>
      <c r="E37" s="46" t="s">
        <v>395</v>
      </c>
      <c r="F37" s="51" t="s">
        <v>310</v>
      </c>
      <c r="G37" s="46" t="s">
        <v>396</v>
      </c>
      <c r="H37" s="51" t="s">
        <v>397</v>
      </c>
      <c r="I37" s="51" t="s">
        <v>313</v>
      </c>
      <c r="J37" s="46" t="s">
        <v>398</v>
      </c>
    </row>
    <row r="38" ht="33.75" customHeight="1" spans="1:10">
      <c r="A38" s="50" t="s">
        <v>254</v>
      </c>
      <c r="B38" s="51" t="s">
        <v>388</v>
      </c>
      <c r="C38" s="51" t="s">
        <v>314</v>
      </c>
      <c r="D38" s="51" t="s">
        <v>315</v>
      </c>
      <c r="E38" s="46" t="s">
        <v>399</v>
      </c>
      <c r="F38" s="51" t="s">
        <v>304</v>
      </c>
      <c r="G38" s="46" t="s">
        <v>400</v>
      </c>
      <c r="H38" s="51" t="s">
        <v>324</v>
      </c>
      <c r="I38" s="51" t="s">
        <v>306</v>
      </c>
      <c r="J38" s="46" t="s">
        <v>401</v>
      </c>
    </row>
    <row r="39" ht="33.75" customHeight="1" spans="1:10">
      <c r="A39" s="50" t="s">
        <v>254</v>
      </c>
      <c r="B39" s="51" t="s">
        <v>388</v>
      </c>
      <c r="C39" s="51" t="s">
        <v>320</v>
      </c>
      <c r="D39" s="51" t="s">
        <v>321</v>
      </c>
      <c r="E39" s="46" t="s">
        <v>402</v>
      </c>
      <c r="F39" s="51" t="s">
        <v>304</v>
      </c>
      <c r="G39" s="46" t="s">
        <v>376</v>
      </c>
      <c r="H39" s="51" t="s">
        <v>324</v>
      </c>
      <c r="I39" s="51" t="s">
        <v>306</v>
      </c>
      <c r="J39" s="46" t="s">
        <v>403</v>
      </c>
    </row>
    <row r="40" ht="33.75" customHeight="1" spans="1:10">
      <c r="A40" s="50" t="s">
        <v>266</v>
      </c>
      <c r="B40" s="51" t="s">
        <v>404</v>
      </c>
      <c r="C40" s="51" t="s">
        <v>301</v>
      </c>
      <c r="D40" s="51" t="s">
        <v>302</v>
      </c>
      <c r="E40" s="46" t="s">
        <v>405</v>
      </c>
      <c r="F40" s="51" t="s">
        <v>304</v>
      </c>
      <c r="G40" s="46" t="s">
        <v>406</v>
      </c>
      <c r="H40" s="51" t="s">
        <v>305</v>
      </c>
      <c r="I40" s="51" t="s">
        <v>306</v>
      </c>
      <c r="J40" s="46" t="s">
        <v>407</v>
      </c>
    </row>
    <row r="41" ht="33.75" customHeight="1" spans="1:10">
      <c r="A41" s="50" t="s">
        <v>266</v>
      </c>
      <c r="B41" s="51" t="s">
        <v>404</v>
      </c>
      <c r="C41" s="51" t="s">
        <v>301</v>
      </c>
      <c r="D41" s="51" t="s">
        <v>302</v>
      </c>
      <c r="E41" s="46" t="s">
        <v>408</v>
      </c>
      <c r="F41" s="51" t="s">
        <v>304</v>
      </c>
      <c r="G41" s="46" t="s">
        <v>352</v>
      </c>
      <c r="H41" s="51" t="s">
        <v>305</v>
      </c>
      <c r="I41" s="51" t="s">
        <v>306</v>
      </c>
      <c r="J41" s="46" t="s">
        <v>409</v>
      </c>
    </row>
    <row r="42" ht="33.75" customHeight="1" spans="1:10">
      <c r="A42" s="50" t="s">
        <v>266</v>
      </c>
      <c r="B42" s="51" t="s">
        <v>404</v>
      </c>
      <c r="C42" s="51" t="s">
        <v>301</v>
      </c>
      <c r="D42" s="51" t="s">
        <v>302</v>
      </c>
      <c r="E42" s="46" t="s">
        <v>410</v>
      </c>
      <c r="F42" s="51" t="s">
        <v>304</v>
      </c>
      <c r="G42" s="46" t="s">
        <v>345</v>
      </c>
      <c r="H42" s="51" t="s">
        <v>305</v>
      </c>
      <c r="I42" s="51" t="s">
        <v>306</v>
      </c>
      <c r="J42" s="46" t="s">
        <v>411</v>
      </c>
    </row>
    <row r="43" ht="33.75" customHeight="1" spans="1:10">
      <c r="A43" s="50" t="s">
        <v>266</v>
      </c>
      <c r="B43" s="51" t="s">
        <v>404</v>
      </c>
      <c r="C43" s="51" t="s">
        <v>301</v>
      </c>
      <c r="D43" s="51" t="s">
        <v>302</v>
      </c>
      <c r="E43" s="46" t="s">
        <v>412</v>
      </c>
      <c r="F43" s="51" t="s">
        <v>304</v>
      </c>
      <c r="G43" s="46" t="s">
        <v>406</v>
      </c>
      <c r="H43" s="51" t="s">
        <v>305</v>
      </c>
      <c r="I43" s="51" t="s">
        <v>306</v>
      </c>
      <c r="J43" s="46" t="s">
        <v>411</v>
      </c>
    </row>
    <row r="44" ht="33.75" customHeight="1" spans="1:10">
      <c r="A44" s="50" t="s">
        <v>266</v>
      </c>
      <c r="B44" s="51" t="s">
        <v>404</v>
      </c>
      <c r="C44" s="51" t="s">
        <v>301</v>
      </c>
      <c r="D44" s="51" t="s">
        <v>302</v>
      </c>
      <c r="E44" s="46" t="s">
        <v>413</v>
      </c>
      <c r="F44" s="51" t="s">
        <v>304</v>
      </c>
      <c r="G44" s="46" t="s">
        <v>414</v>
      </c>
      <c r="H44" s="51" t="s">
        <v>356</v>
      </c>
      <c r="I44" s="51" t="s">
        <v>306</v>
      </c>
      <c r="J44" s="46" t="s">
        <v>415</v>
      </c>
    </row>
    <row r="45" ht="33.75" customHeight="1" spans="1:10">
      <c r="A45" s="50" t="s">
        <v>266</v>
      </c>
      <c r="B45" s="51" t="s">
        <v>404</v>
      </c>
      <c r="C45" s="51" t="s">
        <v>301</v>
      </c>
      <c r="D45" s="51" t="s">
        <v>302</v>
      </c>
      <c r="E45" s="46" t="s">
        <v>416</v>
      </c>
      <c r="F45" s="51" t="s">
        <v>304</v>
      </c>
      <c r="G45" s="46" t="s">
        <v>417</v>
      </c>
      <c r="H45" s="51" t="s">
        <v>334</v>
      </c>
      <c r="I45" s="51" t="s">
        <v>306</v>
      </c>
      <c r="J45" s="46" t="s">
        <v>418</v>
      </c>
    </row>
    <row r="46" ht="33.75" customHeight="1" spans="1:10">
      <c r="A46" s="50" t="s">
        <v>266</v>
      </c>
      <c r="B46" s="51" t="s">
        <v>404</v>
      </c>
      <c r="C46" s="51" t="s">
        <v>301</v>
      </c>
      <c r="D46" s="51" t="s">
        <v>302</v>
      </c>
      <c r="E46" s="46" t="s">
        <v>419</v>
      </c>
      <c r="F46" s="51" t="s">
        <v>304</v>
      </c>
      <c r="G46" s="46" t="s">
        <v>420</v>
      </c>
      <c r="H46" s="51" t="s">
        <v>305</v>
      </c>
      <c r="I46" s="51" t="s">
        <v>306</v>
      </c>
      <c r="J46" s="46" t="s">
        <v>421</v>
      </c>
    </row>
    <row r="47" ht="33.75" customHeight="1" spans="1:10">
      <c r="A47" s="50" t="s">
        <v>266</v>
      </c>
      <c r="B47" s="51" t="s">
        <v>404</v>
      </c>
      <c r="C47" s="51" t="s">
        <v>301</v>
      </c>
      <c r="D47" s="51" t="s">
        <v>302</v>
      </c>
      <c r="E47" s="46" t="s">
        <v>422</v>
      </c>
      <c r="F47" s="51" t="s">
        <v>304</v>
      </c>
      <c r="G47" s="46" t="s">
        <v>423</v>
      </c>
      <c r="H47" s="51" t="s">
        <v>424</v>
      </c>
      <c r="I47" s="51" t="s">
        <v>306</v>
      </c>
      <c r="J47" s="46" t="s">
        <v>425</v>
      </c>
    </row>
    <row r="48" ht="33.75" customHeight="1" spans="1:10">
      <c r="A48" s="50" t="s">
        <v>266</v>
      </c>
      <c r="B48" s="51" t="s">
        <v>404</v>
      </c>
      <c r="C48" s="51" t="s">
        <v>301</v>
      </c>
      <c r="D48" s="51" t="s">
        <v>392</v>
      </c>
      <c r="E48" s="46" t="s">
        <v>426</v>
      </c>
      <c r="F48" s="51" t="s">
        <v>304</v>
      </c>
      <c r="G48" s="46" t="s">
        <v>376</v>
      </c>
      <c r="H48" s="51" t="s">
        <v>324</v>
      </c>
      <c r="I48" s="51" t="s">
        <v>306</v>
      </c>
      <c r="J48" s="46" t="s">
        <v>427</v>
      </c>
    </row>
    <row r="49" ht="33.75" customHeight="1" spans="1:10">
      <c r="A49" s="50" t="s">
        <v>266</v>
      </c>
      <c r="B49" s="51" t="s">
        <v>404</v>
      </c>
      <c r="C49" s="51" t="s">
        <v>301</v>
      </c>
      <c r="D49" s="51" t="s">
        <v>308</v>
      </c>
      <c r="E49" s="46" t="s">
        <v>428</v>
      </c>
      <c r="F49" s="51" t="s">
        <v>304</v>
      </c>
      <c r="G49" s="46" t="s">
        <v>359</v>
      </c>
      <c r="H49" s="51" t="s">
        <v>324</v>
      </c>
      <c r="I49" s="51" t="s">
        <v>306</v>
      </c>
      <c r="J49" s="46" t="s">
        <v>429</v>
      </c>
    </row>
    <row r="50" ht="33.75" customHeight="1" spans="1:10">
      <c r="A50" s="50" t="s">
        <v>266</v>
      </c>
      <c r="B50" s="51" t="s">
        <v>404</v>
      </c>
      <c r="C50" s="51" t="s">
        <v>314</v>
      </c>
      <c r="D50" s="51" t="s">
        <v>430</v>
      </c>
      <c r="E50" s="46" t="s">
        <v>431</v>
      </c>
      <c r="F50" s="51" t="s">
        <v>304</v>
      </c>
      <c r="G50" s="46" t="s">
        <v>355</v>
      </c>
      <c r="H50" s="51" t="s">
        <v>432</v>
      </c>
      <c r="I50" s="51" t="s">
        <v>306</v>
      </c>
      <c r="J50" s="46" t="s">
        <v>433</v>
      </c>
    </row>
    <row r="51" ht="33.75" customHeight="1" spans="1:10">
      <c r="A51" s="50" t="s">
        <v>266</v>
      </c>
      <c r="B51" s="51" t="s">
        <v>404</v>
      </c>
      <c r="C51" s="51" t="s">
        <v>314</v>
      </c>
      <c r="D51" s="51" t="s">
        <v>430</v>
      </c>
      <c r="E51" s="46" t="s">
        <v>434</v>
      </c>
      <c r="F51" s="51" t="s">
        <v>304</v>
      </c>
      <c r="G51" s="46" t="s">
        <v>435</v>
      </c>
      <c r="H51" s="51" t="s">
        <v>432</v>
      </c>
      <c r="I51" s="51" t="s">
        <v>306</v>
      </c>
      <c r="J51" s="46" t="s">
        <v>436</v>
      </c>
    </row>
    <row r="52" ht="33.75" customHeight="1" spans="1:10">
      <c r="A52" s="50" t="s">
        <v>266</v>
      </c>
      <c r="B52" s="51" t="s">
        <v>404</v>
      </c>
      <c r="C52" s="51" t="s">
        <v>314</v>
      </c>
      <c r="D52" s="51" t="s">
        <v>315</v>
      </c>
      <c r="E52" s="46" t="s">
        <v>437</v>
      </c>
      <c r="F52" s="51" t="s">
        <v>304</v>
      </c>
      <c r="G52" s="46" t="s">
        <v>380</v>
      </c>
      <c r="H52" s="51" t="s">
        <v>438</v>
      </c>
      <c r="I52" s="51" t="s">
        <v>306</v>
      </c>
      <c r="J52" s="46" t="s">
        <v>439</v>
      </c>
    </row>
    <row r="53" ht="33.75" customHeight="1" spans="1:10">
      <c r="A53" s="50" t="s">
        <v>266</v>
      </c>
      <c r="B53" s="51" t="s">
        <v>404</v>
      </c>
      <c r="C53" s="51" t="s">
        <v>314</v>
      </c>
      <c r="D53" s="51" t="s">
        <v>315</v>
      </c>
      <c r="E53" s="46" t="s">
        <v>440</v>
      </c>
      <c r="F53" s="51" t="s">
        <v>304</v>
      </c>
      <c r="G53" s="46" t="s">
        <v>441</v>
      </c>
      <c r="H53" s="51" t="s">
        <v>424</v>
      </c>
      <c r="I53" s="51" t="s">
        <v>306</v>
      </c>
      <c r="J53" s="46" t="s">
        <v>442</v>
      </c>
    </row>
    <row r="54" ht="33.75" customHeight="1" spans="1:10">
      <c r="A54" s="50" t="s">
        <v>266</v>
      </c>
      <c r="B54" s="51" t="s">
        <v>404</v>
      </c>
      <c r="C54" s="51" t="s">
        <v>314</v>
      </c>
      <c r="D54" s="51" t="s">
        <v>443</v>
      </c>
      <c r="E54" s="46" t="s">
        <v>444</v>
      </c>
      <c r="F54" s="51" t="s">
        <v>304</v>
      </c>
      <c r="G54" s="46" t="s">
        <v>352</v>
      </c>
      <c r="H54" s="51" t="s">
        <v>305</v>
      </c>
      <c r="I54" s="51" t="s">
        <v>306</v>
      </c>
      <c r="J54" s="46" t="s">
        <v>445</v>
      </c>
    </row>
    <row r="55" ht="33.75" customHeight="1" spans="1:10">
      <c r="A55" s="50" t="s">
        <v>266</v>
      </c>
      <c r="B55" s="51" t="s">
        <v>404</v>
      </c>
      <c r="C55" s="51" t="s">
        <v>320</v>
      </c>
      <c r="D55" s="51" t="s">
        <v>321</v>
      </c>
      <c r="E55" s="46" t="s">
        <v>446</v>
      </c>
      <c r="F55" s="51" t="s">
        <v>304</v>
      </c>
      <c r="G55" s="46" t="s">
        <v>447</v>
      </c>
      <c r="H55" s="51" t="s">
        <v>324</v>
      </c>
      <c r="I55" s="51" t="s">
        <v>306</v>
      </c>
      <c r="J55" s="46" t="s">
        <v>448</v>
      </c>
    </row>
    <row r="56" ht="33.75" customHeight="1" spans="1:10">
      <c r="A56" s="50" t="s">
        <v>266</v>
      </c>
      <c r="B56" s="51" t="s">
        <v>404</v>
      </c>
      <c r="C56" s="51" t="s">
        <v>320</v>
      </c>
      <c r="D56" s="51" t="s">
        <v>321</v>
      </c>
      <c r="E56" s="46" t="s">
        <v>449</v>
      </c>
      <c r="F56" s="51" t="s">
        <v>304</v>
      </c>
      <c r="G56" s="46" t="s">
        <v>376</v>
      </c>
      <c r="H56" s="51" t="s">
        <v>324</v>
      </c>
      <c r="I56" s="51" t="s">
        <v>306</v>
      </c>
      <c r="J56" s="46" t="s">
        <v>450</v>
      </c>
    </row>
    <row r="57" ht="33.75" customHeight="1" spans="1:10">
      <c r="A57" s="50" t="s">
        <v>285</v>
      </c>
      <c r="B57" s="51" t="s">
        <v>451</v>
      </c>
      <c r="C57" s="51" t="s">
        <v>301</v>
      </c>
      <c r="D57" s="51" t="s">
        <v>302</v>
      </c>
      <c r="E57" s="46" t="s">
        <v>452</v>
      </c>
      <c r="F57" s="51" t="s">
        <v>304</v>
      </c>
      <c r="G57" s="46" t="s">
        <v>417</v>
      </c>
      <c r="H57" s="51" t="s">
        <v>365</v>
      </c>
      <c r="I57" s="51" t="s">
        <v>306</v>
      </c>
      <c r="J57" s="46" t="s">
        <v>453</v>
      </c>
    </row>
    <row r="58" ht="33.75" customHeight="1" spans="1:10">
      <c r="A58" s="50" t="s">
        <v>285</v>
      </c>
      <c r="B58" s="51" t="s">
        <v>451</v>
      </c>
      <c r="C58" s="51" t="s">
        <v>301</v>
      </c>
      <c r="D58" s="51" t="s">
        <v>392</v>
      </c>
      <c r="E58" s="46" t="s">
        <v>454</v>
      </c>
      <c r="F58" s="51" t="s">
        <v>304</v>
      </c>
      <c r="G58" s="46" t="s">
        <v>138</v>
      </c>
      <c r="H58" s="51" t="s">
        <v>305</v>
      </c>
      <c r="I58" s="51" t="s">
        <v>306</v>
      </c>
      <c r="J58" s="46" t="s">
        <v>455</v>
      </c>
    </row>
    <row r="59" ht="33.75" customHeight="1" spans="1:10">
      <c r="A59" s="50" t="s">
        <v>285</v>
      </c>
      <c r="B59" s="51" t="s">
        <v>451</v>
      </c>
      <c r="C59" s="51" t="s">
        <v>301</v>
      </c>
      <c r="D59" s="51" t="s">
        <v>392</v>
      </c>
      <c r="E59" s="46" t="s">
        <v>456</v>
      </c>
      <c r="F59" s="51" t="s">
        <v>304</v>
      </c>
      <c r="G59" s="46" t="s">
        <v>140</v>
      </c>
      <c r="H59" s="51" t="s">
        <v>305</v>
      </c>
      <c r="I59" s="51" t="s">
        <v>306</v>
      </c>
      <c r="J59" s="46" t="s">
        <v>457</v>
      </c>
    </row>
    <row r="60" ht="33.75" customHeight="1" spans="1:10">
      <c r="A60" s="50" t="s">
        <v>285</v>
      </c>
      <c r="B60" s="51" t="s">
        <v>451</v>
      </c>
      <c r="C60" s="51" t="s">
        <v>301</v>
      </c>
      <c r="D60" s="51" t="s">
        <v>308</v>
      </c>
      <c r="E60" s="46" t="s">
        <v>458</v>
      </c>
      <c r="F60" s="51" t="s">
        <v>348</v>
      </c>
      <c r="G60" s="46" t="s">
        <v>459</v>
      </c>
      <c r="H60" s="51" t="s">
        <v>460</v>
      </c>
      <c r="I60" s="51" t="s">
        <v>306</v>
      </c>
      <c r="J60" s="46" t="s">
        <v>461</v>
      </c>
    </row>
    <row r="61" ht="33.75" customHeight="1" spans="1:10">
      <c r="A61" s="50" t="s">
        <v>285</v>
      </c>
      <c r="B61" s="51" t="s">
        <v>451</v>
      </c>
      <c r="C61" s="51" t="s">
        <v>314</v>
      </c>
      <c r="D61" s="51" t="s">
        <v>315</v>
      </c>
      <c r="E61" s="46" t="s">
        <v>462</v>
      </c>
      <c r="F61" s="51" t="s">
        <v>310</v>
      </c>
      <c r="G61" s="46" t="s">
        <v>463</v>
      </c>
      <c r="H61" s="51"/>
      <c r="I61" s="51" t="s">
        <v>313</v>
      </c>
      <c r="J61" s="46" t="s">
        <v>464</v>
      </c>
    </row>
    <row r="62" ht="33.75" customHeight="1" spans="1:10">
      <c r="A62" s="50" t="s">
        <v>285</v>
      </c>
      <c r="B62" s="51" t="s">
        <v>451</v>
      </c>
      <c r="C62" s="51" t="s">
        <v>314</v>
      </c>
      <c r="D62" s="51" t="s">
        <v>443</v>
      </c>
      <c r="E62" s="46" t="s">
        <v>465</v>
      </c>
      <c r="F62" s="51" t="s">
        <v>310</v>
      </c>
      <c r="G62" s="46" t="s">
        <v>352</v>
      </c>
      <c r="H62" s="51" t="s">
        <v>324</v>
      </c>
      <c r="I62" s="51" t="s">
        <v>306</v>
      </c>
      <c r="J62" s="46" t="s">
        <v>466</v>
      </c>
    </row>
    <row r="63" ht="33.75" customHeight="1" spans="1:10">
      <c r="A63" s="50" t="s">
        <v>285</v>
      </c>
      <c r="B63" s="51" t="s">
        <v>451</v>
      </c>
      <c r="C63" s="51" t="s">
        <v>320</v>
      </c>
      <c r="D63" s="51" t="s">
        <v>321</v>
      </c>
      <c r="E63" s="46" t="s">
        <v>467</v>
      </c>
      <c r="F63" s="51" t="s">
        <v>304</v>
      </c>
      <c r="G63" s="46" t="s">
        <v>376</v>
      </c>
      <c r="H63" s="51" t="s">
        <v>324</v>
      </c>
      <c r="I63" s="51" t="s">
        <v>306</v>
      </c>
      <c r="J63" s="46" t="s">
        <v>468</v>
      </c>
    </row>
    <row r="64" ht="33.75" customHeight="1" spans="1:10">
      <c r="A64" s="50" t="s">
        <v>280</v>
      </c>
      <c r="B64" s="51" t="s">
        <v>469</v>
      </c>
      <c r="C64" s="51" t="s">
        <v>301</v>
      </c>
      <c r="D64" s="51" t="s">
        <v>302</v>
      </c>
      <c r="E64" s="46" t="s">
        <v>470</v>
      </c>
      <c r="F64" s="51" t="s">
        <v>310</v>
      </c>
      <c r="G64" s="46" t="s">
        <v>471</v>
      </c>
      <c r="H64" s="51" t="s">
        <v>328</v>
      </c>
      <c r="I64" s="51" t="s">
        <v>306</v>
      </c>
      <c r="J64" s="46" t="s">
        <v>472</v>
      </c>
    </row>
    <row r="65" ht="33.75" customHeight="1" spans="1:10">
      <c r="A65" s="50" t="s">
        <v>280</v>
      </c>
      <c r="B65" s="51" t="s">
        <v>469</v>
      </c>
      <c r="C65" s="51" t="s">
        <v>301</v>
      </c>
      <c r="D65" s="51" t="s">
        <v>302</v>
      </c>
      <c r="E65" s="46" t="s">
        <v>473</v>
      </c>
      <c r="F65" s="51" t="s">
        <v>310</v>
      </c>
      <c r="G65" s="46" t="s">
        <v>474</v>
      </c>
      <c r="H65" s="51" t="s">
        <v>328</v>
      </c>
      <c r="I65" s="51" t="s">
        <v>306</v>
      </c>
      <c r="J65" s="46" t="s">
        <v>475</v>
      </c>
    </row>
    <row r="66" ht="33.75" customHeight="1" spans="1:10">
      <c r="A66" s="50" t="s">
        <v>280</v>
      </c>
      <c r="B66" s="51" t="s">
        <v>469</v>
      </c>
      <c r="C66" s="51" t="s">
        <v>301</v>
      </c>
      <c r="D66" s="51" t="s">
        <v>302</v>
      </c>
      <c r="E66" s="46" t="s">
        <v>476</v>
      </c>
      <c r="F66" s="51" t="s">
        <v>304</v>
      </c>
      <c r="G66" s="46" t="s">
        <v>374</v>
      </c>
      <c r="H66" s="51" t="s">
        <v>477</v>
      </c>
      <c r="I66" s="51" t="s">
        <v>306</v>
      </c>
      <c r="J66" s="46" t="s">
        <v>478</v>
      </c>
    </row>
    <row r="67" ht="33.75" customHeight="1" spans="1:10">
      <c r="A67" s="50" t="s">
        <v>280</v>
      </c>
      <c r="B67" s="51" t="s">
        <v>469</v>
      </c>
      <c r="C67" s="51" t="s">
        <v>314</v>
      </c>
      <c r="D67" s="51" t="s">
        <v>315</v>
      </c>
      <c r="E67" s="46" t="s">
        <v>479</v>
      </c>
      <c r="F67" s="51" t="s">
        <v>304</v>
      </c>
      <c r="G67" s="46" t="s">
        <v>435</v>
      </c>
      <c r="H67" s="51" t="s">
        <v>318</v>
      </c>
      <c r="I67" s="51" t="s">
        <v>306</v>
      </c>
      <c r="J67" s="46" t="s">
        <v>480</v>
      </c>
    </row>
    <row r="68" ht="33.75" customHeight="1" spans="1:10">
      <c r="A68" s="50" t="s">
        <v>280</v>
      </c>
      <c r="B68" s="51" t="s">
        <v>469</v>
      </c>
      <c r="C68" s="51" t="s">
        <v>320</v>
      </c>
      <c r="D68" s="51" t="s">
        <v>321</v>
      </c>
      <c r="E68" s="46" t="s">
        <v>481</v>
      </c>
      <c r="F68" s="51" t="s">
        <v>304</v>
      </c>
      <c r="G68" s="46" t="s">
        <v>447</v>
      </c>
      <c r="H68" s="51" t="s">
        <v>324</v>
      </c>
      <c r="I68" s="51" t="s">
        <v>306</v>
      </c>
      <c r="J68" s="46" t="s">
        <v>482</v>
      </c>
    </row>
    <row r="69" ht="33.75" customHeight="1" spans="1:10">
      <c r="A69" s="50" t="s">
        <v>256</v>
      </c>
      <c r="B69" s="51" t="s">
        <v>483</v>
      </c>
      <c r="C69" s="51" t="s">
        <v>301</v>
      </c>
      <c r="D69" s="51" t="s">
        <v>302</v>
      </c>
      <c r="E69" s="46" t="s">
        <v>484</v>
      </c>
      <c r="F69" s="51" t="s">
        <v>304</v>
      </c>
      <c r="G69" s="46" t="s">
        <v>333</v>
      </c>
      <c r="H69" s="51" t="s">
        <v>305</v>
      </c>
      <c r="I69" s="51" t="s">
        <v>306</v>
      </c>
      <c r="J69" s="46" t="s">
        <v>485</v>
      </c>
    </row>
    <row r="70" ht="33.75" customHeight="1" spans="1:10">
      <c r="A70" s="50" t="s">
        <v>256</v>
      </c>
      <c r="B70" s="51" t="s">
        <v>483</v>
      </c>
      <c r="C70" s="51" t="s">
        <v>301</v>
      </c>
      <c r="D70" s="51" t="s">
        <v>302</v>
      </c>
      <c r="E70" s="46" t="s">
        <v>486</v>
      </c>
      <c r="F70" s="51" t="s">
        <v>304</v>
      </c>
      <c r="G70" s="46" t="s">
        <v>333</v>
      </c>
      <c r="H70" s="51" t="s">
        <v>334</v>
      </c>
      <c r="I70" s="51" t="s">
        <v>306</v>
      </c>
      <c r="J70" s="46" t="s">
        <v>487</v>
      </c>
    </row>
    <row r="71" ht="33.75" customHeight="1" spans="1:10">
      <c r="A71" s="50" t="s">
        <v>256</v>
      </c>
      <c r="B71" s="51" t="s">
        <v>483</v>
      </c>
      <c r="C71" s="51" t="s">
        <v>301</v>
      </c>
      <c r="D71" s="51" t="s">
        <v>302</v>
      </c>
      <c r="E71" s="46" t="s">
        <v>488</v>
      </c>
      <c r="F71" s="51" t="s">
        <v>304</v>
      </c>
      <c r="G71" s="46" t="s">
        <v>333</v>
      </c>
      <c r="H71" s="51" t="s">
        <v>334</v>
      </c>
      <c r="I71" s="51" t="s">
        <v>306</v>
      </c>
      <c r="J71" s="46" t="s">
        <v>489</v>
      </c>
    </row>
    <row r="72" ht="33.75" customHeight="1" spans="1:10">
      <c r="A72" s="50" t="s">
        <v>256</v>
      </c>
      <c r="B72" s="51" t="s">
        <v>483</v>
      </c>
      <c r="C72" s="51" t="s">
        <v>301</v>
      </c>
      <c r="D72" s="51" t="s">
        <v>302</v>
      </c>
      <c r="E72" s="46" t="s">
        <v>490</v>
      </c>
      <c r="F72" s="51" t="s">
        <v>304</v>
      </c>
      <c r="G72" s="46" t="s">
        <v>414</v>
      </c>
      <c r="H72" s="51" t="s">
        <v>356</v>
      </c>
      <c r="I72" s="51" t="s">
        <v>306</v>
      </c>
      <c r="J72" s="46" t="s">
        <v>491</v>
      </c>
    </row>
    <row r="73" ht="33.75" customHeight="1" spans="1:10">
      <c r="A73" s="50" t="s">
        <v>256</v>
      </c>
      <c r="B73" s="51" t="s">
        <v>483</v>
      </c>
      <c r="C73" s="51" t="s">
        <v>314</v>
      </c>
      <c r="D73" s="51" t="s">
        <v>443</v>
      </c>
      <c r="E73" s="46" t="s">
        <v>492</v>
      </c>
      <c r="F73" s="51" t="s">
        <v>310</v>
      </c>
      <c r="G73" s="46" t="s">
        <v>493</v>
      </c>
      <c r="H73" s="51" t="s">
        <v>312</v>
      </c>
      <c r="I73" s="51" t="s">
        <v>313</v>
      </c>
      <c r="J73" s="46" t="s">
        <v>494</v>
      </c>
    </row>
    <row r="74" ht="33.75" customHeight="1" spans="1:10">
      <c r="A74" s="50" t="s">
        <v>256</v>
      </c>
      <c r="B74" s="51" t="s">
        <v>483</v>
      </c>
      <c r="C74" s="51" t="s">
        <v>314</v>
      </c>
      <c r="D74" s="51" t="s">
        <v>443</v>
      </c>
      <c r="E74" s="46" t="s">
        <v>495</v>
      </c>
      <c r="F74" s="51" t="s">
        <v>310</v>
      </c>
      <c r="G74" s="46" t="s">
        <v>493</v>
      </c>
      <c r="H74" s="51" t="s">
        <v>312</v>
      </c>
      <c r="I74" s="51" t="s">
        <v>313</v>
      </c>
      <c r="J74" s="46" t="s">
        <v>496</v>
      </c>
    </row>
    <row r="75" ht="33.75" customHeight="1" spans="1:10">
      <c r="A75" s="50" t="s">
        <v>256</v>
      </c>
      <c r="B75" s="51" t="s">
        <v>483</v>
      </c>
      <c r="C75" s="51" t="s">
        <v>320</v>
      </c>
      <c r="D75" s="51" t="s">
        <v>321</v>
      </c>
      <c r="E75" s="46" t="s">
        <v>497</v>
      </c>
      <c r="F75" s="51" t="s">
        <v>304</v>
      </c>
      <c r="G75" s="46" t="s">
        <v>376</v>
      </c>
      <c r="H75" s="51" t="s">
        <v>324</v>
      </c>
      <c r="I75" s="51" t="s">
        <v>306</v>
      </c>
      <c r="J75" s="46" t="s">
        <v>498</v>
      </c>
    </row>
    <row r="76" ht="33.75" customHeight="1" spans="1:10">
      <c r="A76" s="50" t="s">
        <v>276</v>
      </c>
      <c r="B76" s="51" t="s">
        <v>499</v>
      </c>
      <c r="C76" s="51" t="s">
        <v>301</v>
      </c>
      <c r="D76" s="51" t="s">
        <v>302</v>
      </c>
      <c r="E76" s="46" t="s">
        <v>500</v>
      </c>
      <c r="F76" s="51" t="s">
        <v>304</v>
      </c>
      <c r="G76" s="46" t="s">
        <v>501</v>
      </c>
      <c r="H76" s="51" t="s">
        <v>324</v>
      </c>
      <c r="I76" s="51" t="s">
        <v>306</v>
      </c>
      <c r="J76" s="46" t="s">
        <v>502</v>
      </c>
    </row>
    <row r="77" ht="33.75" customHeight="1" spans="1:10">
      <c r="A77" s="50" t="s">
        <v>276</v>
      </c>
      <c r="B77" s="51" t="s">
        <v>499</v>
      </c>
      <c r="C77" s="51" t="s">
        <v>301</v>
      </c>
      <c r="D77" s="51" t="s">
        <v>302</v>
      </c>
      <c r="E77" s="46" t="s">
        <v>503</v>
      </c>
      <c r="F77" s="51" t="s">
        <v>304</v>
      </c>
      <c r="G77" s="46" t="s">
        <v>504</v>
      </c>
      <c r="H77" s="51" t="s">
        <v>505</v>
      </c>
      <c r="I77" s="51" t="s">
        <v>306</v>
      </c>
      <c r="J77" s="46" t="s">
        <v>506</v>
      </c>
    </row>
    <row r="78" ht="33.75" customHeight="1" spans="1:10">
      <c r="A78" s="50" t="s">
        <v>276</v>
      </c>
      <c r="B78" s="51" t="s">
        <v>499</v>
      </c>
      <c r="C78" s="51" t="s">
        <v>301</v>
      </c>
      <c r="D78" s="51" t="s">
        <v>308</v>
      </c>
      <c r="E78" s="46" t="s">
        <v>507</v>
      </c>
      <c r="F78" s="51" t="s">
        <v>304</v>
      </c>
      <c r="G78" s="46" t="s">
        <v>501</v>
      </c>
      <c r="H78" s="51" t="s">
        <v>324</v>
      </c>
      <c r="I78" s="51" t="s">
        <v>306</v>
      </c>
      <c r="J78" s="46" t="s">
        <v>508</v>
      </c>
    </row>
    <row r="79" ht="33.75" customHeight="1" spans="1:10">
      <c r="A79" s="50" t="s">
        <v>276</v>
      </c>
      <c r="B79" s="51" t="s">
        <v>499</v>
      </c>
      <c r="C79" s="51" t="s">
        <v>314</v>
      </c>
      <c r="D79" s="51" t="s">
        <v>315</v>
      </c>
      <c r="E79" s="46" t="s">
        <v>509</v>
      </c>
      <c r="F79" s="51" t="s">
        <v>348</v>
      </c>
      <c r="G79" s="46" t="s">
        <v>333</v>
      </c>
      <c r="H79" s="51" t="s">
        <v>334</v>
      </c>
      <c r="I79" s="51" t="s">
        <v>306</v>
      </c>
      <c r="J79" s="46" t="s">
        <v>510</v>
      </c>
    </row>
    <row r="80" ht="33.75" customHeight="1" spans="1:10">
      <c r="A80" s="50" t="s">
        <v>276</v>
      </c>
      <c r="B80" s="51" t="s">
        <v>499</v>
      </c>
      <c r="C80" s="51" t="s">
        <v>320</v>
      </c>
      <c r="D80" s="51" t="s">
        <v>321</v>
      </c>
      <c r="E80" s="46" t="s">
        <v>511</v>
      </c>
      <c r="F80" s="51" t="s">
        <v>304</v>
      </c>
      <c r="G80" s="46" t="s">
        <v>376</v>
      </c>
      <c r="H80" s="51" t="s">
        <v>324</v>
      </c>
      <c r="I80" s="51" t="s">
        <v>306</v>
      </c>
      <c r="J80" s="46" t="s">
        <v>512</v>
      </c>
    </row>
    <row r="81" ht="33.75" customHeight="1" spans="1:10">
      <c r="A81" s="50" t="s">
        <v>274</v>
      </c>
      <c r="B81" s="51" t="s">
        <v>513</v>
      </c>
      <c r="C81" s="51" t="s">
        <v>301</v>
      </c>
      <c r="D81" s="51" t="s">
        <v>302</v>
      </c>
      <c r="E81" s="46" t="s">
        <v>367</v>
      </c>
      <c r="F81" s="51" t="s">
        <v>304</v>
      </c>
      <c r="G81" s="46" t="s">
        <v>352</v>
      </c>
      <c r="H81" s="51" t="s">
        <v>324</v>
      </c>
      <c r="I81" s="51" t="s">
        <v>306</v>
      </c>
      <c r="J81" s="46" t="s">
        <v>368</v>
      </c>
    </row>
    <row r="82" ht="33.75" customHeight="1" spans="1:10">
      <c r="A82" s="50" t="s">
        <v>274</v>
      </c>
      <c r="B82" s="51" t="s">
        <v>513</v>
      </c>
      <c r="C82" s="51" t="s">
        <v>301</v>
      </c>
      <c r="D82" s="51" t="s">
        <v>302</v>
      </c>
      <c r="E82" s="46" t="s">
        <v>514</v>
      </c>
      <c r="F82" s="51" t="s">
        <v>304</v>
      </c>
      <c r="G82" s="46" t="s">
        <v>515</v>
      </c>
      <c r="H82" s="51" t="s">
        <v>305</v>
      </c>
      <c r="I82" s="51" t="s">
        <v>306</v>
      </c>
      <c r="J82" s="46" t="s">
        <v>516</v>
      </c>
    </row>
    <row r="83" ht="33.75" customHeight="1" spans="1:10">
      <c r="A83" s="50" t="s">
        <v>274</v>
      </c>
      <c r="B83" s="51" t="s">
        <v>513</v>
      </c>
      <c r="C83" s="51" t="s">
        <v>301</v>
      </c>
      <c r="D83" s="51" t="s">
        <v>302</v>
      </c>
      <c r="E83" s="46" t="s">
        <v>517</v>
      </c>
      <c r="F83" s="51" t="s">
        <v>304</v>
      </c>
      <c r="G83" s="46" t="s">
        <v>515</v>
      </c>
      <c r="H83" s="51" t="s">
        <v>305</v>
      </c>
      <c r="I83" s="51" t="s">
        <v>306</v>
      </c>
      <c r="J83" s="46" t="s">
        <v>516</v>
      </c>
    </row>
    <row r="84" ht="33.75" customHeight="1" spans="1:10">
      <c r="A84" s="50" t="s">
        <v>274</v>
      </c>
      <c r="B84" s="51" t="s">
        <v>513</v>
      </c>
      <c r="C84" s="51" t="s">
        <v>301</v>
      </c>
      <c r="D84" s="51" t="s">
        <v>302</v>
      </c>
      <c r="E84" s="46" t="s">
        <v>518</v>
      </c>
      <c r="F84" s="51" t="s">
        <v>304</v>
      </c>
      <c r="G84" s="46" t="s">
        <v>345</v>
      </c>
      <c r="H84" s="51" t="s">
        <v>305</v>
      </c>
      <c r="I84" s="51" t="s">
        <v>306</v>
      </c>
      <c r="J84" s="46" t="s">
        <v>516</v>
      </c>
    </row>
    <row r="85" ht="33.75" customHeight="1" spans="1:10">
      <c r="A85" s="50" t="s">
        <v>274</v>
      </c>
      <c r="B85" s="51" t="s">
        <v>513</v>
      </c>
      <c r="C85" s="51" t="s">
        <v>301</v>
      </c>
      <c r="D85" s="51" t="s">
        <v>302</v>
      </c>
      <c r="E85" s="46" t="s">
        <v>519</v>
      </c>
      <c r="F85" s="51" t="s">
        <v>304</v>
      </c>
      <c r="G85" s="46" t="s">
        <v>331</v>
      </c>
      <c r="H85" s="51" t="s">
        <v>305</v>
      </c>
      <c r="I85" s="51" t="s">
        <v>306</v>
      </c>
      <c r="J85" s="46" t="s">
        <v>520</v>
      </c>
    </row>
    <row r="86" ht="33.75" customHeight="1" spans="1:10">
      <c r="A86" s="50" t="s">
        <v>274</v>
      </c>
      <c r="B86" s="51" t="s">
        <v>513</v>
      </c>
      <c r="C86" s="51" t="s">
        <v>301</v>
      </c>
      <c r="D86" s="51" t="s">
        <v>392</v>
      </c>
      <c r="E86" s="46" t="s">
        <v>521</v>
      </c>
      <c r="F86" s="51" t="s">
        <v>348</v>
      </c>
      <c r="G86" s="46" t="s">
        <v>522</v>
      </c>
      <c r="H86" s="51" t="s">
        <v>324</v>
      </c>
      <c r="I86" s="51" t="s">
        <v>306</v>
      </c>
      <c r="J86" s="46" t="s">
        <v>523</v>
      </c>
    </row>
    <row r="87" ht="33.75" customHeight="1" spans="1:10">
      <c r="A87" s="50" t="s">
        <v>274</v>
      </c>
      <c r="B87" s="51" t="s">
        <v>513</v>
      </c>
      <c r="C87" s="51" t="s">
        <v>301</v>
      </c>
      <c r="D87" s="51" t="s">
        <v>392</v>
      </c>
      <c r="E87" s="46" t="s">
        <v>524</v>
      </c>
      <c r="F87" s="51" t="s">
        <v>304</v>
      </c>
      <c r="G87" s="46" t="s">
        <v>525</v>
      </c>
      <c r="H87" s="51" t="s">
        <v>324</v>
      </c>
      <c r="I87" s="51" t="s">
        <v>306</v>
      </c>
      <c r="J87" s="46" t="s">
        <v>526</v>
      </c>
    </row>
    <row r="88" ht="33.75" customHeight="1" spans="1:10">
      <c r="A88" s="50" t="s">
        <v>274</v>
      </c>
      <c r="B88" s="51" t="s">
        <v>513</v>
      </c>
      <c r="C88" s="51" t="s">
        <v>301</v>
      </c>
      <c r="D88" s="51" t="s">
        <v>308</v>
      </c>
      <c r="E88" s="46" t="s">
        <v>527</v>
      </c>
      <c r="F88" s="51" t="s">
        <v>304</v>
      </c>
      <c r="G88" s="46" t="s">
        <v>323</v>
      </c>
      <c r="H88" s="51" t="s">
        <v>324</v>
      </c>
      <c r="I88" s="51" t="s">
        <v>306</v>
      </c>
      <c r="J88" s="46" t="s">
        <v>528</v>
      </c>
    </row>
    <row r="89" ht="33.75" customHeight="1" spans="1:10">
      <c r="A89" s="50" t="s">
        <v>274</v>
      </c>
      <c r="B89" s="51" t="s">
        <v>513</v>
      </c>
      <c r="C89" s="51" t="s">
        <v>314</v>
      </c>
      <c r="D89" s="51" t="s">
        <v>315</v>
      </c>
      <c r="E89" s="46" t="s">
        <v>529</v>
      </c>
      <c r="F89" s="51" t="s">
        <v>310</v>
      </c>
      <c r="G89" s="46" t="s">
        <v>493</v>
      </c>
      <c r="H89" s="51" t="s">
        <v>530</v>
      </c>
      <c r="I89" s="51" t="s">
        <v>313</v>
      </c>
      <c r="J89" s="46" t="s">
        <v>531</v>
      </c>
    </row>
    <row r="90" ht="33.75" customHeight="1" spans="1:10">
      <c r="A90" s="50" t="s">
        <v>274</v>
      </c>
      <c r="B90" s="51" t="s">
        <v>513</v>
      </c>
      <c r="C90" s="51" t="s">
        <v>314</v>
      </c>
      <c r="D90" s="51" t="s">
        <v>443</v>
      </c>
      <c r="E90" s="46" t="s">
        <v>532</v>
      </c>
      <c r="F90" s="51" t="s">
        <v>310</v>
      </c>
      <c r="G90" s="46" t="s">
        <v>493</v>
      </c>
      <c r="H90" s="51" t="s">
        <v>530</v>
      </c>
      <c r="I90" s="51" t="s">
        <v>313</v>
      </c>
      <c r="J90" s="46" t="s">
        <v>533</v>
      </c>
    </row>
    <row r="91" ht="33.75" customHeight="1" spans="1:10">
      <c r="A91" s="50" t="s">
        <v>274</v>
      </c>
      <c r="B91" s="51" t="s">
        <v>513</v>
      </c>
      <c r="C91" s="51" t="s">
        <v>320</v>
      </c>
      <c r="D91" s="51" t="s">
        <v>321</v>
      </c>
      <c r="E91" s="46" t="s">
        <v>534</v>
      </c>
      <c r="F91" s="51" t="s">
        <v>304</v>
      </c>
      <c r="G91" s="46" t="s">
        <v>376</v>
      </c>
      <c r="H91" s="51" t="s">
        <v>324</v>
      </c>
      <c r="I91" s="51" t="s">
        <v>306</v>
      </c>
      <c r="J91" s="46" t="s">
        <v>535</v>
      </c>
    </row>
    <row r="92" ht="33.75" customHeight="1" spans="1:10">
      <c r="A92" s="50" t="s">
        <v>274</v>
      </c>
      <c r="B92" s="51" t="s">
        <v>513</v>
      </c>
      <c r="C92" s="51" t="s">
        <v>320</v>
      </c>
      <c r="D92" s="51" t="s">
        <v>321</v>
      </c>
      <c r="E92" s="46" t="s">
        <v>536</v>
      </c>
      <c r="F92" s="51" t="s">
        <v>304</v>
      </c>
      <c r="G92" s="46" t="s">
        <v>376</v>
      </c>
      <c r="H92" s="51" t="s">
        <v>324</v>
      </c>
      <c r="I92" s="51" t="s">
        <v>306</v>
      </c>
      <c r="J92" s="46" t="s">
        <v>537</v>
      </c>
    </row>
    <row r="93" ht="33.75" customHeight="1" spans="1:10">
      <c r="A93" s="50" t="s">
        <v>251</v>
      </c>
      <c r="B93" s="51" t="s">
        <v>538</v>
      </c>
      <c r="C93" s="51" t="s">
        <v>301</v>
      </c>
      <c r="D93" s="51" t="s">
        <v>302</v>
      </c>
      <c r="E93" s="46" t="s">
        <v>539</v>
      </c>
      <c r="F93" s="51" t="s">
        <v>304</v>
      </c>
      <c r="G93" s="46" t="s">
        <v>139</v>
      </c>
      <c r="H93" s="51" t="s">
        <v>334</v>
      </c>
      <c r="I93" s="51" t="s">
        <v>306</v>
      </c>
      <c r="J93" s="46" t="s">
        <v>540</v>
      </c>
    </row>
    <row r="94" ht="33.75" customHeight="1" spans="1:10">
      <c r="A94" s="50" t="s">
        <v>251</v>
      </c>
      <c r="B94" s="51" t="s">
        <v>538</v>
      </c>
      <c r="C94" s="51" t="s">
        <v>301</v>
      </c>
      <c r="D94" s="51" t="s">
        <v>392</v>
      </c>
      <c r="E94" s="46" t="s">
        <v>541</v>
      </c>
      <c r="F94" s="51" t="s">
        <v>348</v>
      </c>
      <c r="G94" s="46" t="s">
        <v>542</v>
      </c>
      <c r="H94" s="51" t="s">
        <v>543</v>
      </c>
      <c r="I94" s="51" t="s">
        <v>306</v>
      </c>
      <c r="J94" s="46" t="s">
        <v>544</v>
      </c>
    </row>
    <row r="95" ht="33.75" customHeight="1" spans="1:10">
      <c r="A95" s="50" t="s">
        <v>251</v>
      </c>
      <c r="B95" s="51" t="s">
        <v>538</v>
      </c>
      <c r="C95" s="51" t="s">
        <v>314</v>
      </c>
      <c r="D95" s="51" t="s">
        <v>443</v>
      </c>
      <c r="E95" s="46" t="s">
        <v>545</v>
      </c>
      <c r="F95" s="51" t="s">
        <v>310</v>
      </c>
      <c r="G95" s="46" t="s">
        <v>546</v>
      </c>
      <c r="H95" s="51" t="s">
        <v>365</v>
      </c>
      <c r="I95" s="51" t="s">
        <v>313</v>
      </c>
      <c r="J95" s="46" t="s">
        <v>547</v>
      </c>
    </row>
    <row r="96" ht="33.75" customHeight="1" spans="1:10">
      <c r="A96" s="50" t="s">
        <v>251</v>
      </c>
      <c r="B96" s="51" t="s">
        <v>538</v>
      </c>
      <c r="C96" s="51" t="s">
        <v>320</v>
      </c>
      <c r="D96" s="51" t="s">
        <v>321</v>
      </c>
      <c r="E96" s="46" t="s">
        <v>548</v>
      </c>
      <c r="F96" s="51" t="s">
        <v>304</v>
      </c>
      <c r="G96" s="46" t="s">
        <v>359</v>
      </c>
      <c r="H96" s="51" t="s">
        <v>324</v>
      </c>
      <c r="I96" s="51" t="s">
        <v>306</v>
      </c>
      <c r="J96" s="46" t="s">
        <v>549</v>
      </c>
    </row>
  </sheetData>
  <mergeCells count="26">
    <mergeCell ref="A2:J2"/>
    <mergeCell ref="A3:H3"/>
    <mergeCell ref="A7:A10"/>
    <mergeCell ref="A11:A23"/>
    <mergeCell ref="A24:A29"/>
    <mergeCell ref="A30:A34"/>
    <mergeCell ref="A35:A39"/>
    <mergeCell ref="A40:A56"/>
    <mergeCell ref="A57:A63"/>
    <mergeCell ref="A64:A68"/>
    <mergeCell ref="A69:A75"/>
    <mergeCell ref="A76:A80"/>
    <mergeCell ref="A81:A92"/>
    <mergeCell ref="A93:A96"/>
    <mergeCell ref="B7:B10"/>
    <mergeCell ref="B11:B23"/>
    <mergeCell ref="B24:B29"/>
    <mergeCell ref="B30:B34"/>
    <mergeCell ref="B35:B39"/>
    <mergeCell ref="B40:B56"/>
    <mergeCell ref="B57:B63"/>
    <mergeCell ref="B64:B68"/>
    <mergeCell ref="B69:B75"/>
    <mergeCell ref="B76:B80"/>
    <mergeCell ref="B81:B92"/>
    <mergeCell ref="B93:B9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F9"/>
  <sheetViews>
    <sheetView showZeros="0" tabSelected="1" workbookViewId="0">
      <selection activeCell="A12" sqref="A12"/>
    </sheetView>
  </sheetViews>
  <sheetFormatPr defaultColWidth="9.13888888888889" defaultRowHeight="14.25" customHeight="1" outlineLevelCol="5"/>
  <cols>
    <col min="1" max="1" width="29.0277777777778" customWidth="1"/>
    <col min="2" max="2" width="28.6018518518519" customWidth="1"/>
    <col min="3" max="3" width="31.6018518518519" customWidth="1"/>
    <col min="4" max="6" width="33.4537037037037" customWidth="1"/>
  </cols>
  <sheetData>
    <row r="1" ht="15.75" customHeight="1" spans="6:6">
      <c r="F1" s="53" t="s">
        <v>550</v>
      </c>
    </row>
    <row r="2" ht="28.5" customHeight="1" spans="1:6">
      <c r="A2" s="27" t="s">
        <v>551</v>
      </c>
      <c r="B2" s="27"/>
      <c r="C2" s="27"/>
      <c r="D2" s="27"/>
      <c r="E2" s="27"/>
      <c r="F2" s="27"/>
    </row>
    <row r="3" ht="15" customHeight="1" spans="1:6">
      <c r="A3" s="99" t="str">
        <f>"单位名称："&amp;"云南省文化和旅游厅"</f>
        <v>单位名称：云南省文化和旅游厅</v>
      </c>
      <c r="B3" s="100"/>
      <c r="C3" s="100"/>
      <c r="D3" s="56"/>
      <c r="E3" s="56"/>
      <c r="F3" s="101" t="s">
        <v>2</v>
      </c>
    </row>
    <row r="4" ht="18.75" customHeight="1" spans="1:6">
      <c r="A4" s="9" t="s">
        <v>153</v>
      </c>
      <c r="B4" s="9" t="s">
        <v>49</v>
      </c>
      <c r="C4" s="9" t="s">
        <v>50</v>
      </c>
      <c r="D4" s="15" t="s">
        <v>552</v>
      </c>
      <c r="E4" s="60"/>
      <c r="F4" s="60"/>
    </row>
    <row r="5" ht="30" customHeight="1" spans="1:6">
      <c r="A5" s="18"/>
      <c r="B5" s="18"/>
      <c r="C5" s="18"/>
      <c r="D5" s="15" t="s">
        <v>31</v>
      </c>
      <c r="E5" s="60" t="s">
        <v>58</v>
      </c>
      <c r="F5" s="60" t="s">
        <v>59</v>
      </c>
    </row>
    <row r="6" ht="16.5" customHeight="1" spans="1:6">
      <c r="A6" s="60">
        <v>1</v>
      </c>
      <c r="B6" s="60">
        <v>2</v>
      </c>
      <c r="C6" s="60">
        <v>3</v>
      </c>
      <c r="D6" s="60">
        <v>4</v>
      </c>
      <c r="E6" s="60">
        <v>5</v>
      </c>
      <c r="F6" s="60">
        <v>6</v>
      </c>
    </row>
    <row r="7" ht="20.25" customHeight="1" spans="1:6">
      <c r="A7" s="29"/>
      <c r="B7" s="29"/>
      <c r="C7" s="29"/>
      <c r="D7" s="22"/>
      <c r="E7" s="22"/>
      <c r="F7" s="22"/>
    </row>
    <row r="8" ht="17.25" customHeight="1" spans="1:6">
      <c r="A8" s="102" t="s">
        <v>119</v>
      </c>
      <c r="B8" s="103"/>
      <c r="C8" s="103" t="s">
        <v>119</v>
      </c>
      <c r="D8" s="22"/>
      <c r="E8" s="22"/>
      <c r="F8" s="22"/>
    </row>
    <row r="9" customHeight="1" spans="1:1">
      <c r="A9" s="104" t="s">
        <v>553</v>
      </c>
    </row>
  </sheetData>
  <mergeCells count="6">
    <mergeCell ref="A2:F2"/>
    <mergeCell ref="D4:F4"/>
    <mergeCell ref="A8:C8"/>
    <mergeCell ref="A4:A5"/>
    <mergeCell ref="B4:B5"/>
    <mergeCell ref="C4:C5"/>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Q105"/>
  <sheetViews>
    <sheetView showZeros="0" workbookViewId="0">
      <selection activeCell="A1" sqref="A1"/>
    </sheetView>
  </sheetViews>
  <sheetFormatPr defaultColWidth="9.13888888888889" defaultRowHeight="14.25" customHeight="1"/>
  <cols>
    <col min="1" max="1" width="39.1388888888889" customWidth="1"/>
    <col min="2" max="2" width="21.712962962963" customWidth="1"/>
    <col min="3" max="3" width="35.2777777777778" customWidth="1"/>
    <col min="4" max="4" width="7.71296296296296" customWidth="1"/>
    <col min="5" max="5" width="10.2777777777778" customWidth="1"/>
    <col min="6" max="11" width="14.7407407407407" customWidth="1"/>
    <col min="12" max="16" width="12.5740740740741" customWidth="1"/>
    <col min="17" max="17" width="10.4259259259259" customWidth="1"/>
  </cols>
  <sheetData>
    <row r="1" ht="13.5" customHeight="1" spans="15:17">
      <c r="O1" s="52"/>
      <c r="P1" s="52"/>
      <c r="Q1" s="97" t="s">
        <v>554</v>
      </c>
    </row>
    <row r="2" ht="27.75" customHeight="1" spans="1:17">
      <c r="A2" s="54" t="s">
        <v>555</v>
      </c>
      <c r="B2" s="27"/>
      <c r="C2" s="27"/>
      <c r="D2" s="27"/>
      <c r="E2" s="27"/>
      <c r="F2" s="27"/>
      <c r="G2" s="27"/>
      <c r="H2" s="27"/>
      <c r="I2" s="27"/>
      <c r="J2" s="27"/>
      <c r="K2" s="43"/>
      <c r="L2" s="27"/>
      <c r="M2" s="27"/>
      <c r="N2" s="27"/>
      <c r="O2" s="43"/>
      <c r="P2" s="43"/>
      <c r="Q2" s="27"/>
    </row>
    <row r="3" ht="18.75" customHeight="1" spans="1:17">
      <c r="A3" s="91" t="str">
        <f>"单位名称："&amp;"云南省文化和旅游厅"</f>
        <v>单位名称：云南省文化和旅游厅</v>
      </c>
      <c r="B3" s="6"/>
      <c r="C3" s="6"/>
      <c r="D3" s="6"/>
      <c r="E3" s="6"/>
      <c r="F3" s="6"/>
      <c r="G3" s="6"/>
      <c r="H3" s="6"/>
      <c r="I3" s="6"/>
      <c r="J3" s="6"/>
      <c r="O3" s="62"/>
      <c r="P3" s="62"/>
      <c r="Q3" s="98" t="s">
        <v>144</v>
      </c>
    </row>
    <row r="4" ht="15.75" customHeight="1" spans="1:17">
      <c r="A4" s="9" t="s">
        <v>556</v>
      </c>
      <c r="B4" s="66" t="s">
        <v>557</v>
      </c>
      <c r="C4" s="66" t="s">
        <v>558</v>
      </c>
      <c r="D4" s="66" t="s">
        <v>559</v>
      </c>
      <c r="E4" s="66" t="s">
        <v>560</v>
      </c>
      <c r="F4" s="66" t="s">
        <v>561</v>
      </c>
      <c r="G4" s="67" t="s">
        <v>160</v>
      </c>
      <c r="H4" s="67"/>
      <c r="I4" s="67"/>
      <c r="J4" s="67"/>
      <c r="K4" s="68"/>
      <c r="L4" s="67"/>
      <c r="M4" s="67"/>
      <c r="N4" s="67"/>
      <c r="O4" s="81"/>
      <c r="P4" s="68"/>
      <c r="Q4" s="82"/>
    </row>
    <row r="5" ht="17.25" customHeight="1" spans="1:17">
      <c r="A5" s="14"/>
      <c r="B5" s="69"/>
      <c r="C5" s="69"/>
      <c r="D5" s="69"/>
      <c r="E5" s="69"/>
      <c r="F5" s="69"/>
      <c r="G5" s="69" t="s">
        <v>31</v>
      </c>
      <c r="H5" s="69" t="s">
        <v>34</v>
      </c>
      <c r="I5" s="69" t="s">
        <v>562</v>
      </c>
      <c r="J5" s="69" t="s">
        <v>563</v>
      </c>
      <c r="K5" s="70" t="s">
        <v>564</v>
      </c>
      <c r="L5" s="83" t="s">
        <v>565</v>
      </c>
      <c r="M5" s="83"/>
      <c r="N5" s="83"/>
      <c r="O5" s="84"/>
      <c r="P5" s="85"/>
      <c r="Q5" s="71"/>
    </row>
    <row r="6" ht="54" customHeight="1" spans="1:17">
      <c r="A6" s="17"/>
      <c r="B6" s="71"/>
      <c r="C6" s="71"/>
      <c r="D6" s="71"/>
      <c r="E6" s="71"/>
      <c r="F6" s="71"/>
      <c r="G6" s="71"/>
      <c r="H6" s="71" t="s">
        <v>33</v>
      </c>
      <c r="I6" s="71"/>
      <c r="J6" s="71"/>
      <c r="K6" s="72"/>
      <c r="L6" s="71" t="s">
        <v>33</v>
      </c>
      <c r="M6" s="71" t="s">
        <v>44</v>
      </c>
      <c r="N6" s="71" t="s">
        <v>167</v>
      </c>
      <c r="O6" s="86" t="s">
        <v>40</v>
      </c>
      <c r="P6" s="72" t="s">
        <v>41</v>
      </c>
      <c r="Q6" s="71" t="s">
        <v>42</v>
      </c>
    </row>
    <row r="7" ht="15" customHeight="1" spans="1:17">
      <c r="A7" s="18">
        <v>1</v>
      </c>
      <c r="B7" s="92">
        <v>2</v>
      </c>
      <c r="C7" s="92">
        <v>3</v>
      </c>
      <c r="D7" s="92">
        <v>4</v>
      </c>
      <c r="E7" s="92">
        <v>5</v>
      </c>
      <c r="F7" s="92">
        <v>6</v>
      </c>
      <c r="G7" s="93">
        <v>7</v>
      </c>
      <c r="H7" s="93">
        <v>8</v>
      </c>
      <c r="I7" s="93">
        <v>9</v>
      </c>
      <c r="J7" s="93">
        <v>10</v>
      </c>
      <c r="K7" s="93">
        <v>11</v>
      </c>
      <c r="L7" s="93">
        <v>12</v>
      </c>
      <c r="M7" s="93">
        <v>13</v>
      </c>
      <c r="N7" s="93">
        <v>14</v>
      </c>
      <c r="O7" s="93">
        <v>15</v>
      </c>
      <c r="P7" s="93">
        <v>16</v>
      </c>
      <c r="Q7" s="93">
        <v>17</v>
      </c>
    </row>
    <row r="8" ht="21" customHeight="1" spans="1:17">
      <c r="A8" s="73" t="s">
        <v>46</v>
      </c>
      <c r="B8" s="74"/>
      <c r="C8" s="74"/>
      <c r="D8" s="74"/>
      <c r="E8" s="94"/>
      <c r="F8" s="22">
        <v>43240000</v>
      </c>
      <c r="G8" s="22">
        <v>130063200</v>
      </c>
      <c r="H8" s="22">
        <v>130063200</v>
      </c>
      <c r="I8" s="22"/>
      <c r="J8" s="22"/>
      <c r="K8" s="22"/>
      <c r="L8" s="22"/>
      <c r="M8" s="22"/>
      <c r="N8" s="22"/>
      <c r="O8" s="22"/>
      <c r="P8" s="22"/>
      <c r="Q8" s="22"/>
    </row>
    <row r="9" ht="21" customHeight="1" spans="1:17">
      <c r="A9" s="76" t="s">
        <v>274</v>
      </c>
      <c r="B9" s="74" t="s">
        <v>566</v>
      </c>
      <c r="C9" s="74" t="s">
        <v>567</v>
      </c>
      <c r="D9" s="95" t="s">
        <v>365</v>
      </c>
      <c r="E9" s="96">
        <v>1</v>
      </c>
      <c r="F9" s="22"/>
      <c r="G9" s="22">
        <v>120000</v>
      </c>
      <c r="H9" s="22">
        <v>120000</v>
      </c>
      <c r="I9" s="22"/>
      <c r="J9" s="22"/>
      <c r="K9" s="22"/>
      <c r="L9" s="22"/>
      <c r="M9" s="22"/>
      <c r="N9" s="22"/>
      <c r="O9" s="22"/>
      <c r="P9" s="22"/>
      <c r="Q9" s="22"/>
    </row>
    <row r="10" ht="21" customHeight="1" spans="1:17">
      <c r="A10" s="76" t="s">
        <v>274</v>
      </c>
      <c r="B10" s="74" t="s">
        <v>568</v>
      </c>
      <c r="C10" s="74" t="s">
        <v>567</v>
      </c>
      <c r="D10" s="95" t="s">
        <v>365</v>
      </c>
      <c r="E10" s="96">
        <v>1</v>
      </c>
      <c r="F10" s="22"/>
      <c r="G10" s="22">
        <v>450000</v>
      </c>
      <c r="H10" s="22">
        <v>450000</v>
      </c>
      <c r="I10" s="22"/>
      <c r="J10" s="22"/>
      <c r="K10" s="22"/>
      <c r="L10" s="22"/>
      <c r="M10" s="22"/>
      <c r="N10" s="22"/>
      <c r="O10" s="22"/>
      <c r="P10" s="22"/>
      <c r="Q10" s="22"/>
    </row>
    <row r="11" ht="21" customHeight="1" spans="1:17">
      <c r="A11" s="76" t="s">
        <v>274</v>
      </c>
      <c r="B11" s="74" t="s">
        <v>569</v>
      </c>
      <c r="C11" s="74" t="s">
        <v>567</v>
      </c>
      <c r="D11" s="95" t="s">
        <v>365</v>
      </c>
      <c r="E11" s="96">
        <v>1</v>
      </c>
      <c r="F11" s="22"/>
      <c r="G11" s="22">
        <v>450000</v>
      </c>
      <c r="H11" s="22">
        <v>450000</v>
      </c>
      <c r="I11" s="22"/>
      <c r="J11" s="22"/>
      <c r="K11" s="22"/>
      <c r="L11" s="22"/>
      <c r="M11" s="22"/>
      <c r="N11" s="22"/>
      <c r="O11" s="22"/>
      <c r="P11" s="22"/>
      <c r="Q11" s="22"/>
    </row>
    <row r="12" ht="21" customHeight="1" spans="1:17">
      <c r="A12" s="76" t="s">
        <v>274</v>
      </c>
      <c r="B12" s="74" t="s">
        <v>570</v>
      </c>
      <c r="C12" s="74" t="s">
        <v>571</v>
      </c>
      <c r="D12" s="95" t="s">
        <v>365</v>
      </c>
      <c r="E12" s="96">
        <v>1</v>
      </c>
      <c r="F12" s="22"/>
      <c r="G12" s="22">
        <v>300000</v>
      </c>
      <c r="H12" s="22">
        <v>300000</v>
      </c>
      <c r="I12" s="22"/>
      <c r="J12" s="22"/>
      <c r="K12" s="22"/>
      <c r="L12" s="22"/>
      <c r="M12" s="22"/>
      <c r="N12" s="22"/>
      <c r="O12" s="22"/>
      <c r="P12" s="22"/>
      <c r="Q12" s="22"/>
    </row>
    <row r="13" ht="21" customHeight="1" spans="1:17">
      <c r="A13" s="76" t="s">
        <v>274</v>
      </c>
      <c r="B13" s="74" t="s">
        <v>572</v>
      </c>
      <c r="C13" s="74" t="s">
        <v>571</v>
      </c>
      <c r="D13" s="95" t="s">
        <v>365</v>
      </c>
      <c r="E13" s="96">
        <v>1</v>
      </c>
      <c r="F13" s="22"/>
      <c r="G13" s="22">
        <v>500000</v>
      </c>
      <c r="H13" s="22">
        <v>500000</v>
      </c>
      <c r="I13" s="22"/>
      <c r="J13" s="22"/>
      <c r="K13" s="22"/>
      <c r="L13" s="22"/>
      <c r="M13" s="22"/>
      <c r="N13" s="22"/>
      <c r="O13" s="22"/>
      <c r="P13" s="22"/>
      <c r="Q13" s="22"/>
    </row>
    <row r="14" ht="21" customHeight="1" spans="1:17">
      <c r="A14" s="76" t="s">
        <v>274</v>
      </c>
      <c r="B14" s="74" t="s">
        <v>573</v>
      </c>
      <c r="C14" s="74" t="s">
        <v>571</v>
      </c>
      <c r="D14" s="95" t="s">
        <v>365</v>
      </c>
      <c r="E14" s="96">
        <v>1</v>
      </c>
      <c r="F14" s="22"/>
      <c r="G14" s="22">
        <v>200000</v>
      </c>
      <c r="H14" s="22">
        <v>200000</v>
      </c>
      <c r="I14" s="22"/>
      <c r="J14" s="22"/>
      <c r="K14" s="22"/>
      <c r="L14" s="22"/>
      <c r="M14" s="22"/>
      <c r="N14" s="22"/>
      <c r="O14" s="22"/>
      <c r="P14" s="22"/>
      <c r="Q14" s="22"/>
    </row>
    <row r="15" ht="21" customHeight="1" spans="1:17">
      <c r="A15" s="76" t="s">
        <v>274</v>
      </c>
      <c r="B15" s="74" t="s">
        <v>574</v>
      </c>
      <c r="C15" s="74" t="s">
        <v>571</v>
      </c>
      <c r="D15" s="95" t="s">
        <v>365</v>
      </c>
      <c r="E15" s="96">
        <v>1</v>
      </c>
      <c r="F15" s="22"/>
      <c r="G15" s="22">
        <v>300000</v>
      </c>
      <c r="H15" s="22">
        <v>300000</v>
      </c>
      <c r="I15" s="22"/>
      <c r="J15" s="22"/>
      <c r="K15" s="22"/>
      <c r="L15" s="22"/>
      <c r="M15" s="22"/>
      <c r="N15" s="22"/>
      <c r="O15" s="22"/>
      <c r="P15" s="22"/>
      <c r="Q15" s="22"/>
    </row>
    <row r="16" ht="21" customHeight="1" spans="1:17">
      <c r="A16" s="76" t="s">
        <v>254</v>
      </c>
      <c r="B16" s="74" t="s">
        <v>575</v>
      </c>
      <c r="C16" s="74" t="s">
        <v>576</v>
      </c>
      <c r="D16" s="95" t="s">
        <v>365</v>
      </c>
      <c r="E16" s="96">
        <v>1</v>
      </c>
      <c r="F16" s="22"/>
      <c r="G16" s="22">
        <v>1491600</v>
      </c>
      <c r="H16" s="22">
        <v>1491600</v>
      </c>
      <c r="I16" s="22"/>
      <c r="J16" s="22"/>
      <c r="K16" s="22"/>
      <c r="L16" s="22"/>
      <c r="M16" s="22"/>
      <c r="N16" s="22"/>
      <c r="O16" s="22"/>
      <c r="P16" s="22"/>
      <c r="Q16" s="22"/>
    </row>
    <row r="17" ht="21" customHeight="1" spans="1:17">
      <c r="A17" s="76" t="s">
        <v>260</v>
      </c>
      <c r="B17" s="74" t="s">
        <v>577</v>
      </c>
      <c r="C17" s="74" t="s">
        <v>578</v>
      </c>
      <c r="D17" s="95" t="s">
        <v>365</v>
      </c>
      <c r="E17" s="96">
        <v>1</v>
      </c>
      <c r="F17" s="22"/>
      <c r="G17" s="22">
        <v>3000000</v>
      </c>
      <c r="H17" s="22">
        <v>3000000</v>
      </c>
      <c r="I17" s="22"/>
      <c r="J17" s="22"/>
      <c r="K17" s="22"/>
      <c r="L17" s="22"/>
      <c r="M17" s="22"/>
      <c r="N17" s="22"/>
      <c r="O17" s="22"/>
      <c r="P17" s="22"/>
      <c r="Q17" s="22"/>
    </row>
    <row r="18" ht="21" customHeight="1" spans="1:17">
      <c r="A18" s="76" t="s">
        <v>260</v>
      </c>
      <c r="B18" s="74" t="s">
        <v>579</v>
      </c>
      <c r="C18" s="74" t="s">
        <v>578</v>
      </c>
      <c r="D18" s="95" t="s">
        <v>365</v>
      </c>
      <c r="E18" s="96">
        <v>1</v>
      </c>
      <c r="F18" s="22"/>
      <c r="G18" s="22">
        <v>2600000</v>
      </c>
      <c r="H18" s="22">
        <v>2600000</v>
      </c>
      <c r="I18" s="22"/>
      <c r="J18" s="22"/>
      <c r="K18" s="22"/>
      <c r="L18" s="22"/>
      <c r="M18" s="22"/>
      <c r="N18" s="22"/>
      <c r="O18" s="22"/>
      <c r="P18" s="22"/>
      <c r="Q18" s="22"/>
    </row>
    <row r="19" ht="21" customHeight="1" spans="1:17">
      <c r="A19" s="76" t="s">
        <v>260</v>
      </c>
      <c r="B19" s="74" t="s">
        <v>580</v>
      </c>
      <c r="C19" s="74" t="s">
        <v>578</v>
      </c>
      <c r="D19" s="95" t="s">
        <v>365</v>
      </c>
      <c r="E19" s="96">
        <v>1</v>
      </c>
      <c r="F19" s="22"/>
      <c r="G19" s="22">
        <v>1920000</v>
      </c>
      <c r="H19" s="22">
        <v>1920000</v>
      </c>
      <c r="I19" s="22"/>
      <c r="J19" s="22"/>
      <c r="K19" s="22"/>
      <c r="L19" s="22"/>
      <c r="M19" s="22"/>
      <c r="N19" s="22"/>
      <c r="O19" s="22"/>
      <c r="P19" s="22"/>
      <c r="Q19" s="22"/>
    </row>
    <row r="20" ht="21" customHeight="1" spans="1:17">
      <c r="A20" s="76" t="s">
        <v>260</v>
      </c>
      <c r="B20" s="74" t="s">
        <v>581</v>
      </c>
      <c r="C20" s="74" t="s">
        <v>578</v>
      </c>
      <c r="D20" s="95" t="s">
        <v>365</v>
      </c>
      <c r="E20" s="96">
        <v>1</v>
      </c>
      <c r="F20" s="22"/>
      <c r="G20" s="22">
        <v>1800000</v>
      </c>
      <c r="H20" s="22">
        <v>1800000</v>
      </c>
      <c r="I20" s="22"/>
      <c r="J20" s="22"/>
      <c r="K20" s="22"/>
      <c r="L20" s="22"/>
      <c r="M20" s="22"/>
      <c r="N20" s="22"/>
      <c r="O20" s="22"/>
      <c r="P20" s="22"/>
      <c r="Q20" s="22"/>
    </row>
    <row r="21" ht="21" customHeight="1" spans="1:17">
      <c r="A21" s="76" t="s">
        <v>260</v>
      </c>
      <c r="B21" s="74" t="s">
        <v>582</v>
      </c>
      <c r="C21" s="74" t="s">
        <v>578</v>
      </c>
      <c r="D21" s="95" t="s">
        <v>365</v>
      </c>
      <c r="E21" s="96">
        <v>1</v>
      </c>
      <c r="F21" s="22"/>
      <c r="G21" s="22">
        <v>700000</v>
      </c>
      <c r="H21" s="22">
        <v>700000</v>
      </c>
      <c r="I21" s="22"/>
      <c r="J21" s="22"/>
      <c r="K21" s="22"/>
      <c r="L21" s="22"/>
      <c r="M21" s="22"/>
      <c r="N21" s="22"/>
      <c r="O21" s="22"/>
      <c r="P21" s="22"/>
      <c r="Q21" s="22"/>
    </row>
    <row r="22" ht="21" customHeight="1" spans="1:17">
      <c r="A22" s="76" t="s">
        <v>260</v>
      </c>
      <c r="B22" s="74" t="s">
        <v>583</v>
      </c>
      <c r="C22" s="74" t="s">
        <v>584</v>
      </c>
      <c r="D22" s="95" t="s">
        <v>365</v>
      </c>
      <c r="E22" s="96">
        <v>1</v>
      </c>
      <c r="F22" s="22">
        <v>200000</v>
      </c>
      <c r="G22" s="22">
        <v>200000</v>
      </c>
      <c r="H22" s="22">
        <v>200000</v>
      </c>
      <c r="I22" s="22"/>
      <c r="J22" s="22"/>
      <c r="K22" s="22"/>
      <c r="L22" s="22"/>
      <c r="M22" s="22"/>
      <c r="N22" s="22"/>
      <c r="O22" s="22"/>
      <c r="P22" s="22"/>
      <c r="Q22" s="22"/>
    </row>
    <row r="23" ht="21" customHeight="1" spans="1:17">
      <c r="A23" s="76" t="s">
        <v>260</v>
      </c>
      <c r="B23" s="74" t="s">
        <v>585</v>
      </c>
      <c r="C23" s="74" t="s">
        <v>584</v>
      </c>
      <c r="D23" s="95" t="s">
        <v>365</v>
      </c>
      <c r="E23" s="96">
        <v>1</v>
      </c>
      <c r="F23" s="22">
        <v>720000</v>
      </c>
      <c r="G23" s="22">
        <v>720000</v>
      </c>
      <c r="H23" s="22">
        <v>720000</v>
      </c>
      <c r="I23" s="22"/>
      <c r="J23" s="22"/>
      <c r="K23" s="22"/>
      <c r="L23" s="22"/>
      <c r="M23" s="22"/>
      <c r="N23" s="22"/>
      <c r="O23" s="22"/>
      <c r="P23" s="22"/>
      <c r="Q23" s="22"/>
    </row>
    <row r="24" ht="21" customHeight="1" spans="1:17">
      <c r="A24" s="76" t="s">
        <v>260</v>
      </c>
      <c r="B24" s="74" t="s">
        <v>586</v>
      </c>
      <c r="C24" s="74" t="s">
        <v>587</v>
      </c>
      <c r="D24" s="95" t="s">
        <v>365</v>
      </c>
      <c r="E24" s="96">
        <v>1</v>
      </c>
      <c r="F24" s="22"/>
      <c r="G24" s="22">
        <v>1000000</v>
      </c>
      <c r="H24" s="22">
        <v>1000000</v>
      </c>
      <c r="I24" s="22"/>
      <c r="J24" s="22"/>
      <c r="K24" s="22"/>
      <c r="L24" s="22"/>
      <c r="M24" s="22"/>
      <c r="N24" s="22"/>
      <c r="O24" s="22"/>
      <c r="P24" s="22"/>
      <c r="Q24" s="22"/>
    </row>
    <row r="25" ht="21" customHeight="1" spans="1:17">
      <c r="A25" s="76" t="s">
        <v>260</v>
      </c>
      <c r="B25" s="74" t="s">
        <v>588</v>
      </c>
      <c r="C25" s="74" t="s">
        <v>589</v>
      </c>
      <c r="D25" s="95" t="s">
        <v>365</v>
      </c>
      <c r="E25" s="96">
        <v>1</v>
      </c>
      <c r="F25" s="22">
        <v>500000</v>
      </c>
      <c r="G25" s="22">
        <v>500000</v>
      </c>
      <c r="H25" s="22">
        <v>500000</v>
      </c>
      <c r="I25" s="22"/>
      <c r="J25" s="22"/>
      <c r="K25" s="22"/>
      <c r="L25" s="22"/>
      <c r="M25" s="22"/>
      <c r="N25" s="22"/>
      <c r="O25" s="22"/>
      <c r="P25" s="22"/>
      <c r="Q25" s="22"/>
    </row>
    <row r="26" ht="21" customHeight="1" spans="1:17">
      <c r="A26" s="76" t="s">
        <v>256</v>
      </c>
      <c r="B26" s="74" t="s">
        <v>590</v>
      </c>
      <c r="C26" s="74" t="s">
        <v>591</v>
      </c>
      <c r="D26" s="95" t="s">
        <v>365</v>
      </c>
      <c r="E26" s="96">
        <v>1</v>
      </c>
      <c r="F26" s="22">
        <v>1200000</v>
      </c>
      <c r="G26" s="22">
        <v>1200000</v>
      </c>
      <c r="H26" s="22">
        <v>1200000</v>
      </c>
      <c r="I26" s="22"/>
      <c r="J26" s="22"/>
      <c r="K26" s="22"/>
      <c r="L26" s="22"/>
      <c r="M26" s="22"/>
      <c r="N26" s="22"/>
      <c r="O26" s="22"/>
      <c r="P26" s="22"/>
      <c r="Q26" s="22"/>
    </row>
    <row r="27" ht="21" customHeight="1" spans="1:17">
      <c r="A27" s="76" t="s">
        <v>191</v>
      </c>
      <c r="B27" s="74" t="s">
        <v>592</v>
      </c>
      <c r="C27" s="74" t="s">
        <v>593</v>
      </c>
      <c r="D27" s="95" t="s">
        <v>530</v>
      </c>
      <c r="E27" s="96">
        <v>1</v>
      </c>
      <c r="F27" s="22"/>
      <c r="G27" s="22">
        <v>80000</v>
      </c>
      <c r="H27" s="22">
        <v>80000</v>
      </c>
      <c r="I27" s="22"/>
      <c r="J27" s="22"/>
      <c r="K27" s="22"/>
      <c r="L27" s="22"/>
      <c r="M27" s="22"/>
      <c r="N27" s="22"/>
      <c r="O27" s="22"/>
      <c r="P27" s="22"/>
      <c r="Q27" s="22"/>
    </row>
    <row r="28" ht="21" customHeight="1" spans="1:17">
      <c r="A28" s="76" t="s">
        <v>191</v>
      </c>
      <c r="B28" s="74" t="s">
        <v>594</v>
      </c>
      <c r="C28" s="74" t="s">
        <v>595</v>
      </c>
      <c r="D28" s="95" t="s">
        <v>530</v>
      </c>
      <c r="E28" s="96">
        <v>1</v>
      </c>
      <c r="F28" s="22"/>
      <c r="G28" s="22">
        <v>47000</v>
      </c>
      <c r="H28" s="22">
        <v>47000</v>
      </c>
      <c r="I28" s="22"/>
      <c r="J28" s="22"/>
      <c r="K28" s="22"/>
      <c r="L28" s="22"/>
      <c r="M28" s="22"/>
      <c r="N28" s="22"/>
      <c r="O28" s="22"/>
      <c r="P28" s="22"/>
      <c r="Q28" s="22"/>
    </row>
    <row r="29" ht="21" customHeight="1" spans="1:17">
      <c r="A29" s="76" t="s">
        <v>191</v>
      </c>
      <c r="B29" s="74" t="s">
        <v>596</v>
      </c>
      <c r="C29" s="74" t="s">
        <v>597</v>
      </c>
      <c r="D29" s="95" t="s">
        <v>530</v>
      </c>
      <c r="E29" s="96">
        <v>1</v>
      </c>
      <c r="F29" s="22"/>
      <c r="G29" s="22">
        <v>33000</v>
      </c>
      <c r="H29" s="22">
        <v>33000</v>
      </c>
      <c r="I29" s="22"/>
      <c r="J29" s="22"/>
      <c r="K29" s="22"/>
      <c r="L29" s="22"/>
      <c r="M29" s="22"/>
      <c r="N29" s="22"/>
      <c r="O29" s="22"/>
      <c r="P29" s="22"/>
      <c r="Q29" s="22"/>
    </row>
    <row r="30" ht="21" customHeight="1" spans="1:17">
      <c r="A30" s="76" t="s">
        <v>204</v>
      </c>
      <c r="B30" s="74" t="s">
        <v>598</v>
      </c>
      <c r="C30" s="74" t="s">
        <v>599</v>
      </c>
      <c r="D30" s="95" t="s">
        <v>305</v>
      </c>
      <c r="E30" s="96">
        <v>2</v>
      </c>
      <c r="F30" s="22"/>
      <c r="G30" s="22">
        <v>8000</v>
      </c>
      <c r="H30" s="22">
        <v>8000</v>
      </c>
      <c r="I30" s="22"/>
      <c r="J30" s="22"/>
      <c r="K30" s="22"/>
      <c r="L30" s="22"/>
      <c r="M30" s="22"/>
      <c r="N30" s="22"/>
      <c r="O30" s="22"/>
      <c r="P30" s="22"/>
      <c r="Q30" s="22"/>
    </row>
    <row r="31" ht="21" customHeight="1" spans="1:17">
      <c r="A31" s="76" t="s">
        <v>204</v>
      </c>
      <c r="B31" s="74" t="s">
        <v>600</v>
      </c>
      <c r="C31" s="74" t="s">
        <v>601</v>
      </c>
      <c r="D31" s="95" t="s">
        <v>305</v>
      </c>
      <c r="E31" s="96">
        <v>2</v>
      </c>
      <c r="F31" s="22"/>
      <c r="G31" s="22">
        <v>1600</v>
      </c>
      <c r="H31" s="22">
        <v>1600</v>
      </c>
      <c r="I31" s="22"/>
      <c r="J31" s="22"/>
      <c r="K31" s="22"/>
      <c r="L31" s="22"/>
      <c r="M31" s="22"/>
      <c r="N31" s="22"/>
      <c r="O31" s="22"/>
      <c r="P31" s="22"/>
      <c r="Q31" s="22"/>
    </row>
    <row r="32" ht="21" customHeight="1" spans="1:17">
      <c r="A32" s="76" t="s">
        <v>204</v>
      </c>
      <c r="B32" s="74" t="s">
        <v>600</v>
      </c>
      <c r="C32" s="74" t="s">
        <v>601</v>
      </c>
      <c r="D32" s="95" t="s">
        <v>305</v>
      </c>
      <c r="E32" s="96">
        <v>2</v>
      </c>
      <c r="F32" s="22"/>
      <c r="G32" s="22">
        <v>1600</v>
      </c>
      <c r="H32" s="22">
        <v>1600</v>
      </c>
      <c r="I32" s="22"/>
      <c r="J32" s="22"/>
      <c r="K32" s="22"/>
      <c r="L32" s="22"/>
      <c r="M32" s="22"/>
      <c r="N32" s="22"/>
      <c r="O32" s="22"/>
      <c r="P32" s="22"/>
      <c r="Q32" s="22"/>
    </row>
    <row r="33" ht="21" customHeight="1" spans="1:17">
      <c r="A33" s="76" t="s">
        <v>204</v>
      </c>
      <c r="B33" s="74" t="s">
        <v>602</v>
      </c>
      <c r="C33" s="74" t="s">
        <v>603</v>
      </c>
      <c r="D33" s="95" t="s">
        <v>305</v>
      </c>
      <c r="E33" s="96">
        <v>2</v>
      </c>
      <c r="F33" s="22"/>
      <c r="G33" s="22">
        <v>8000</v>
      </c>
      <c r="H33" s="22">
        <v>8000</v>
      </c>
      <c r="I33" s="22"/>
      <c r="J33" s="22"/>
      <c r="K33" s="22"/>
      <c r="L33" s="22"/>
      <c r="M33" s="22"/>
      <c r="N33" s="22"/>
      <c r="O33" s="22"/>
      <c r="P33" s="22"/>
      <c r="Q33" s="22"/>
    </row>
    <row r="34" ht="21" customHeight="1" spans="1:17">
      <c r="A34" s="76" t="s">
        <v>204</v>
      </c>
      <c r="B34" s="74" t="s">
        <v>604</v>
      </c>
      <c r="C34" s="74" t="s">
        <v>605</v>
      </c>
      <c r="D34" s="95" t="s">
        <v>606</v>
      </c>
      <c r="E34" s="96">
        <v>1</v>
      </c>
      <c r="F34" s="22"/>
      <c r="G34" s="22">
        <v>120000</v>
      </c>
      <c r="H34" s="22">
        <v>120000</v>
      </c>
      <c r="I34" s="22"/>
      <c r="J34" s="22"/>
      <c r="K34" s="22"/>
      <c r="L34" s="22"/>
      <c r="M34" s="22"/>
      <c r="N34" s="22"/>
      <c r="O34" s="22"/>
      <c r="P34" s="22"/>
      <c r="Q34" s="22"/>
    </row>
    <row r="35" ht="21" customHeight="1" spans="1:17">
      <c r="A35" s="76" t="s">
        <v>204</v>
      </c>
      <c r="B35" s="74" t="s">
        <v>607</v>
      </c>
      <c r="C35" s="74" t="s">
        <v>605</v>
      </c>
      <c r="D35" s="95" t="s">
        <v>608</v>
      </c>
      <c r="E35" s="96">
        <v>1</v>
      </c>
      <c r="F35" s="22"/>
      <c r="G35" s="22">
        <v>20000</v>
      </c>
      <c r="H35" s="22">
        <v>20000</v>
      </c>
      <c r="I35" s="22"/>
      <c r="J35" s="22"/>
      <c r="K35" s="22"/>
      <c r="L35" s="22"/>
      <c r="M35" s="22"/>
      <c r="N35" s="22"/>
      <c r="O35" s="22"/>
      <c r="P35" s="22"/>
      <c r="Q35" s="22"/>
    </row>
    <row r="36" ht="21" customHeight="1" spans="1:17">
      <c r="A36" s="76" t="s">
        <v>204</v>
      </c>
      <c r="B36" s="74" t="s">
        <v>609</v>
      </c>
      <c r="C36" s="74" t="s">
        <v>610</v>
      </c>
      <c r="D36" s="95" t="s">
        <v>611</v>
      </c>
      <c r="E36" s="96">
        <v>8000</v>
      </c>
      <c r="F36" s="22"/>
      <c r="G36" s="22">
        <v>120000</v>
      </c>
      <c r="H36" s="22">
        <v>120000</v>
      </c>
      <c r="I36" s="22"/>
      <c r="J36" s="22"/>
      <c r="K36" s="22"/>
      <c r="L36" s="22"/>
      <c r="M36" s="22"/>
      <c r="N36" s="22"/>
      <c r="O36" s="22"/>
      <c r="P36" s="22"/>
      <c r="Q36" s="22"/>
    </row>
    <row r="37" ht="21" customHeight="1" spans="1:17">
      <c r="A37" s="76" t="s">
        <v>204</v>
      </c>
      <c r="B37" s="74" t="s">
        <v>612</v>
      </c>
      <c r="C37" s="74" t="s">
        <v>613</v>
      </c>
      <c r="D37" s="95" t="s">
        <v>530</v>
      </c>
      <c r="E37" s="96">
        <v>1</v>
      </c>
      <c r="F37" s="22"/>
      <c r="G37" s="22">
        <v>150000</v>
      </c>
      <c r="H37" s="22">
        <v>150000</v>
      </c>
      <c r="I37" s="22"/>
      <c r="J37" s="22"/>
      <c r="K37" s="22"/>
      <c r="L37" s="22"/>
      <c r="M37" s="22"/>
      <c r="N37" s="22"/>
      <c r="O37" s="22"/>
      <c r="P37" s="22"/>
      <c r="Q37" s="22"/>
    </row>
    <row r="38" ht="21" customHeight="1" spans="1:17">
      <c r="A38" s="76" t="s">
        <v>204</v>
      </c>
      <c r="B38" s="74" t="s">
        <v>614</v>
      </c>
      <c r="C38" s="74" t="s">
        <v>615</v>
      </c>
      <c r="D38" s="95" t="s">
        <v>305</v>
      </c>
      <c r="E38" s="96">
        <v>2</v>
      </c>
      <c r="F38" s="22"/>
      <c r="G38" s="22">
        <v>3000</v>
      </c>
      <c r="H38" s="22">
        <v>3000</v>
      </c>
      <c r="I38" s="22"/>
      <c r="J38" s="22"/>
      <c r="K38" s="22"/>
      <c r="L38" s="22"/>
      <c r="M38" s="22"/>
      <c r="N38" s="22"/>
      <c r="O38" s="22"/>
      <c r="P38" s="22"/>
      <c r="Q38" s="22"/>
    </row>
    <row r="39" ht="21" customHeight="1" spans="1:17">
      <c r="A39" s="76" t="s">
        <v>204</v>
      </c>
      <c r="B39" s="74" t="s">
        <v>616</v>
      </c>
      <c r="C39" s="74" t="s">
        <v>617</v>
      </c>
      <c r="D39" s="95" t="s">
        <v>305</v>
      </c>
      <c r="E39" s="96">
        <v>1</v>
      </c>
      <c r="F39" s="22"/>
      <c r="G39" s="22">
        <v>62000</v>
      </c>
      <c r="H39" s="22">
        <v>62000</v>
      </c>
      <c r="I39" s="22"/>
      <c r="J39" s="22"/>
      <c r="K39" s="22"/>
      <c r="L39" s="22"/>
      <c r="M39" s="22"/>
      <c r="N39" s="22"/>
      <c r="O39" s="22"/>
      <c r="P39" s="22"/>
      <c r="Q39" s="22"/>
    </row>
    <row r="40" ht="21" customHeight="1" spans="1:17">
      <c r="A40" s="76" t="s">
        <v>204</v>
      </c>
      <c r="B40" s="74" t="s">
        <v>618</v>
      </c>
      <c r="C40" s="74" t="s">
        <v>619</v>
      </c>
      <c r="D40" s="95" t="s">
        <v>606</v>
      </c>
      <c r="E40" s="96">
        <v>1</v>
      </c>
      <c r="F40" s="22"/>
      <c r="G40" s="22">
        <v>3000</v>
      </c>
      <c r="H40" s="22">
        <v>3000</v>
      </c>
      <c r="I40" s="22"/>
      <c r="J40" s="22"/>
      <c r="K40" s="22"/>
      <c r="L40" s="22"/>
      <c r="M40" s="22"/>
      <c r="N40" s="22"/>
      <c r="O40" s="22"/>
      <c r="P40" s="22"/>
      <c r="Q40" s="22"/>
    </row>
    <row r="41" ht="21" customHeight="1" spans="1:17">
      <c r="A41" s="76" t="s">
        <v>204</v>
      </c>
      <c r="B41" s="74" t="s">
        <v>620</v>
      </c>
      <c r="C41" s="74" t="s">
        <v>621</v>
      </c>
      <c r="D41" s="95" t="s">
        <v>622</v>
      </c>
      <c r="E41" s="96">
        <v>10</v>
      </c>
      <c r="F41" s="22"/>
      <c r="G41" s="22">
        <v>15000</v>
      </c>
      <c r="H41" s="22">
        <v>15000</v>
      </c>
      <c r="I41" s="22"/>
      <c r="J41" s="22"/>
      <c r="K41" s="22"/>
      <c r="L41" s="22"/>
      <c r="M41" s="22"/>
      <c r="N41" s="22"/>
      <c r="O41" s="22"/>
      <c r="P41" s="22"/>
      <c r="Q41" s="22"/>
    </row>
    <row r="42" ht="21" customHeight="1" spans="1:17">
      <c r="A42" s="76" t="s">
        <v>204</v>
      </c>
      <c r="B42" s="74" t="s">
        <v>623</v>
      </c>
      <c r="C42" s="74" t="s">
        <v>624</v>
      </c>
      <c r="D42" s="95" t="s">
        <v>305</v>
      </c>
      <c r="E42" s="96">
        <v>2</v>
      </c>
      <c r="F42" s="22"/>
      <c r="G42" s="22">
        <v>50000</v>
      </c>
      <c r="H42" s="22">
        <v>50000</v>
      </c>
      <c r="I42" s="22"/>
      <c r="J42" s="22"/>
      <c r="K42" s="22"/>
      <c r="L42" s="22"/>
      <c r="M42" s="22"/>
      <c r="N42" s="22"/>
      <c r="O42" s="22"/>
      <c r="P42" s="22"/>
      <c r="Q42" s="22"/>
    </row>
    <row r="43" ht="21" customHeight="1" spans="1:17">
      <c r="A43" s="76" t="s">
        <v>204</v>
      </c>
      <c r="B43" s="74" t="s">
        <v>625</v>
      </c>
      <c r="C43" s="74" t="s">
        <v>626</v>
      </c>
      <c r="D43" s="95" t="s">
        <v>627</v>
      </c>
      <c r="E43" s="96">
        <v>2</v>
      </c>
      <c r="F43" s="22"/>
      <c r="G43" s="22">
        <v>50000</v>
      </c>
      <c r="H43" s="22">
        <v>50000</v>
      </c>
      <c r="I43" s="22"/>
      <c r="J43" s="22"/>
      <c r="K43" s="22"/>
      <c r="L43" s="22"/>
      <c r="M43" s="22"/>
      <c r="N43" s="22"/>
      <c r="O43" s="22"/>
      <c r="P43" s="22"/>
      <c r="Q43" s="22"/>
    </row>
    <row r="44" ht="21" customHeight="1" spans="1:17">
      <c r="A44" s="76" t="s">
        <v>204</v>
      </c>
      <c r="B44" s="74" t="s">
        <v>628</v>
      </c>
      <c r="C44" s="74" t="s">
        <v>629</v>
      </c>
      <c r="D44" s="95" t="s">
        <v>606</v>
      </c>
      <c r="E44" s="96">
        <v>1</v>
      </c>
      <c r="F44" s="22"/>
      <c r="G44" s="22">
        <v>4000</v>
      </c>
      <c r="H44" s="22">
        <v>4000</v>
      </c>
      <c r="I44" s="22"/>
      <c r="J44" s="22"/>
      <c r="K44" s="22"/>
      <c r="L44" s="22"/>
      <c r="M44" s="22"/>
      <c r="N44" s="22"/>
      <c r="O44" s="22"/>
      <c r="P44" s="22"/>
      <c r="Q44" s="22"/>
    </row>
    <row r="45" ht="21" customHeight="1" spans="1:17">
      <c r="A45" s="76" t="s">
        <v>204</v>
      </c>
      <c r="B45" s="74" t="s">
        <v>630</v>
      </c>
      <c r="C45" s="74" t="s">
        <v>631</v>
      </c>
      <c r="D45" s="95" t="s">
        <v>305</v>
      </c>
      <c r="E45" s="96">
        <v>10</v>
      </c>
      <c r="F45" s="22"/>
      <c r="G45" s="22">
        <v>10000</v>
      </c>
      <c r="H45" s="22">
        <v>10000</v>
      </c>
      <c r="I45" s="22"/>
      <c r="J45" s="22"/>
      <c r="K45" s="22"/>
      <c r="L45" s="22"/>
      <c r="M45" s="22"/>
      <c r="N45" s="22"/>
      <c r="O45" s="22"/>
      <c r="P45" s="22"/>
      <c r="Q45" s="22"/>
    </row>
    <row r="46" ht="21" customHeight="1" spans="1:17">
      <c r="A46" s="76" t="s">
        <v>204</v>
      </c>
      <c r="B46" s="74" t="s">
        <v>632</v>
      </c>
      <c r="C46" s="74" t="s">
        <v>631</v>
      </c>
      <c r="D46" s="95" t="s">
        <v>606</v>
      </c>
      <c r="E46" s="96">
        <v>2</v>
      </c>
      <c r="F46" s="22"/>
      <c r="G46" s="22">
        <v>8000</v>
      </c>
      <c r="H46" s="22">
        <v>8000</v>
      </c>
      <c r="I46" s="22"/>
      <c r="J46" s="22"/>
      <c r="K46" s="22"/>
      <c r="L46" s="22"/>
      <c r="M46" s="22"/>
      <c r="N46" s="22"/>
      <c r="O46" s="22"/>
      <c r="P46" s="22"/>
      <c r="Q46" s="22"/>
    </row>
    <row r="47" ht="21" customHeight="1" spans="1:17">
      <c r="A47" s="76" t="s">
        <v>204</v>
      </c>
      <c r="B47" s="74" t="s">
        <v>625</v>
      </c>
      <c r="C47" s="74" t="s">
        <v>631</v>
      </c>
      <c r="D47" s="95" t="s">
        <v>305</v>
      </c>
      <c r="E47" s="96">
        <v>3</v>
      </c>
      <c r="F47" s="22"/>
      <c r="G47" s="22">
        <v>12000</v>
      </c>
      <c r="H47" s="22">
        <v>12000</v>
      </c>
      <c r="I47" s="22"/>
      <c r="J47" s="22"/>
      <c r="K47" s="22"/>
      <c r="L47" s="22"/>
      <c r="M47" s="22"/>
      <c r="N47" s="22"/>
      <c r="O47" s="22"/>
      <c r="P47" s="22"/>
      <c r="Q47" s="22"/>
    </row>
    <row r="48" ht="21" customHeight="1" spans="1:17">
      <c r="A48" s="76" t="s">
        <v>204</v>
      </c>
      <c r="B48" s="74" t="s">
        <v>633</v>
      </c>
      <c r="C48" s="74" t="s">
        <v>631</v>
      </c>
      <c r="D48" s="95" t="s">
        <v>606</v>
      </c>
      <c r="E48" s="96">
        <v>2</v>
      </c>
      <c r="F48" s="22"/>
      <c r="G48" s="22">
        <v>8000</v>
      </c>
      <c r="H48" s="22">
        <v>8000</v>
      </c>
      <c r="I48" s="22"/>
      <c r="J48" s="22"/>
      <c r="K48" s="22"/>
      <c r="L48" s="22"/>
      <c r="M48" s="22"/>
      <c r="N48" s="22"/>
      <c r="O48" s="22"/>
      <c r="P48" s="22"/>
      <c r="Q48" s="22"/>
    </row>
    <row r="49" ht="21" customHeight="1" spans="1:17">
      <c r="A49" s="76" t="s">
        <v>204</v>
      </c>
      <c r="B49" s="74" t="s">
        <v>634</v>
      </c>
      <c r="C49" s="74" t="s">
        <v>631</v>
      </c>
      <c r="D49" s="95" t="s">
        <v>606</v>
      </c>
      <c r="E49" s="96">
        <v>1</v>
      </c>
      <c r="F49" s="22"/>
      <c r="G49" s="22">
        <v>3500</v>
      </c>
      <c r="H49" s="22">
        <v>3500</v>
      </c>
      <c r="I49" s="22"/>
      <c r="J49" s="22"/>
      <c r="K49" s="22"/>
      <c r="L49" s="22"/>
      <c r="M49" s="22"/>
      <c r="N49" s="22"/>
      <c r="O49" s="22"/>
      <c r="P49" s="22"/>
      <c r="Q49" s="22"/>
    </row>
    <row r="50" ht="21" customHeight="1" spans="1:17">
      <c r="A50" s="76" t="s">
        <v>204</v>
      </c>
      <c r="B50" s="74" t="s">
        <v>635</v>
      </c>
      <c r="C50" s="74" t="s">
        <v>631</v>
      </c>
      <c r="D50" s="95" t="s">
        <v>606</v>
      </c>
      <c r="E50" s="96">
        <v>1</v>
      </c>
      <c r="F50" s="22"/>
      <c r="G50" s="22">
        <v>4000</v>
      </c>
      <c r="H50" s="22">
        <v>4000</v>
      </c>
      <c r="I50" s="22"/>
      <c r="J50" s="22"/>
      <c r="K50" s="22"/>
      <c r="L50" s="22"/>
      <c r="M50" s="22"/>
      <c r="N50" s="22"/>
      <c r="O50" s="22"/>
      <c r="P50" s="22"/>
      <c r="Q50" s="22"/>
    </row>
    <row r="51" ht="21" customHeight="1" spans="1:17">
      <c r="A51" s="76" t="s">
        <v>204</v>
      </c>
      <c r="B51" s="74" t="s">
        <v>636</v>
      </c>
      <c r="C51" s="74" t="s">
        <v>637</v>
      </c>
      <c r="D51" s="95" t="s">
        <v>608</v>
      </c>
      <c r="E51" s="96">
        <v>1</v>
      </c>
      <c r="F51" s="22"/>
      <c r="G51" s="22">
        <v>15000</v>
      </c>
      <c r="H51" s="22">
        <v>15000</v>
      </c>
      <c r="I51" s="22"/>
      <c r="J51" s="22"/>
      <c r="K51" s="22"/>
      <c r="L51" s="22"/>
      <c r="M51" s="22"/>
      <c r="N51" s="22"/>
      <c r="O51" s="22"/>
      <c r="P51" s="22"/>
      <c r="Q51" s="22"/>
    </row>
    <row r="52" ht="21" customHeight="1" spans="1:17">
      <c r="A52" s="76" t="s">
        <v>204</v>
      </c>
      <c r="B52" s="74" t="s">
        <v>638</v>
      </c>
      <c r="C52" s="74" t="s">
        <v>639</v>
      </c>
      <c r="D52" s="95" t="s">
        <v>305</v>
      </c>
      <c r="E52" s="96">
        <v>2</v>
      </c>
      <c r="F52" s="22"/>
      <c r="G52" s="22">
        <v>3000</v>
      </c>
      <c r="H52" s="22">
        <v>3000</v>
      </c>
      <c r="I52" s="22"/>
      <c r="J52" s="22"/>
      <c r="K52" s="22"/>
      <c r="L52" s="22"/>
      <c r="M52" s="22"/>
      <c r="N52" s="22"/>
      <c r="O52" s="22"/>
      <c r="P52" s="22"/>
      <c r="Q52" s="22"/>
    </row>
    <row r="53" ht="21" customHeight="1" spans="1:17">
      <c r="A53" s="76" t="s">
        <v>204</v>
      </c>
      <c r="B53" s="74" t="s">
        <v>640</v>
      </c>
      <c r="C53" s="74" t="s">
        <v>641</v>
      </c>
      <c r="D53" s="95" t="s">
        <v>606</v>
      </c>
      <c r="E53" s="96">
        <v>1</v>
      </c>
      <c r="F53" s="22"/>
      <c r="G53" s="22">
        <v>4000</v>
      </c>
      <c r="H53" s="22">
        <v>4000</v>
      </c>
      <c r="I53" s="22"/>
      <c r="J53" s="22"/>
      <c r="K53" s="22"/>
      <c r="L53" s="22"/>
      <c r="M53" s="22"/>
      <c r="N53" s="22"/>
      <c r="O53" s="22"/>
      <c r="P53" s="22"/>
      <c r="Q53" s="22"/>
    </row>
    <row r="54" ht="21" customHeight="1" spans="1:17">
      <c r="A54" s="76" t="s">
        <v>266</v>
      </c>
      <c r="B54" s="74" t="s">
        <v>642</v>
      </c>
      <c r="C54" s="74" t="s">
        <v>643</v>
      </c>
      <c r="D54" s="95" t="s">
        <v>365</v>
      </c>
      <c r="E54" s="96">
        <v>1</v>
      </c>
      <c r="F54" s="22"/>
      <c r="G54" s="22">
        <v>117000</v>
      </c>
      <c r="H54" s="22">
        <v>117000</v>
      </c>
      <c r="I54" s="22"/>
      <c r="J54" s="22"/>
      <c r="K54" s="22"/>
      <c r="L54" s="22"/>
      <c r="M54" s="22"/>
      <c r="N54" s="22"/>
      <c r="O54" s="22"/>
      <c r="P54" s="22"/>
      <c r="Q54" s="22"/>
    </row>
    <row r="55" ht="21" customHeight="1" spans="1:17">
      <c r="A55" s="76" t="s">
        <v>266</v>
      </c>
      <c r="B55" s="74" t="s">
        <v>644</v>
      </c>
      <c r="C55" s="74" t="s">
        <v>645</v>
      </c>
      <c r="D55" s="95" t="s">
        <v>365</v>
      </c>
      <c r="E55" s="96">
        <v>1</v>
      </c>
      <c r="F55" s="22">
        <v>27950000</v>
      </c>
      <c r="G55" s="22">
        <v>27950000</v>
      </c>
      <c r="H55" s="22">
        <v>27950000</v>
      </c>
      <c r="I55" s="22"/>
      <c r="J55" s="22"/>
      <c r="K55" s="22"/>
      <c r="L55" s="22"/>
      <c r="M55" s="22"/>
      <c r="N55" s="22"/>
      <c r="O55" s="22"/>
      <c r="P55" s="22"/>
      <c r="Q55" s="22"/>
    </row>
    <row r="56" ht="21" customHeight="1" spans="1:17">
      <c r="A56" s="76" t="s">
        <v>266</v>
      </c>
      <c r="B56" s="74" t="s">
        <v>646</v>
      </c>
      <c r="C56" s="74" t="s">
        <v>645</v>
      </c>
      <c r="D56" s="95" t="s">
        <v>365</v>
      </c>
      <c r="E56" s="96">
        <v>1</v>
      </c>
      <c r="F56" s="22"/>
      <c r="G56" s="22">
        <v>8000000</v>
      </c>
      <c r="H56" s="22">
        <v>8000000</v>
      </c>
      <c r="I56" s="22"/>
      <c r="J56" s="22"/>
      <c r="K56" s="22"/>
      <c r="L56" s="22"/>
      <c r="M56" s="22"/>
      <c r="N56" s="22"/>
      <c r="O56" s="22"/>
      <c r="P56" s="22"/>
      <c r="Q56" s="22"/>
    </row>
    <row r="57" ht="21" customHeight="1" spans="1:17">
      <c r="A57" s="76" t="s">
        <v>266</v>
      </c>
      <c r="B57" s="74" t="s">
        <v>647</v>
      </c>
      <c r="C57" s="74" t="s">
        <v>645</v>
      </c>
      <c r="D57" s="95" t="s">
        <v>365</v>
      </c>
      <c r="E57" s="96">
        <v>1</v>
      </c>
      <c r="F57" s="22"/>
      <c r="G57" s="22">
        <v>7000000</v>
      </c>
      <c r="H57" s="22">
        <v>7000000</v>
      </c>
      <c r="I57" s="22"/>
      <c r="J57" s="22"/>
      <c r="K57" s="22"/>
      <c r="L57" s="22"/>
      <c r="M57" s="22"/>
      <c r="N57" s="22"/>
      <c r="O57" s="22"/>
      <c r="P57" s="22"/>
      <c r="Q57" s="22"/>
    </row>
    <row r="58" ht="21" customHeight="1" spans="1:17">
      <c r="A58" s="76" t="s">
        <v>266</v>
      </c>
      <c r="B58" s="74" t="s">
        <v>648</v>
      </c>
      <c r="C58" s="74" t="s">
        <v>645</v>
      </c>
      <c r="D58" s="95" t="s">
        <v>365</v>
      </c>
      <c r="E58" s="96">
        <v>1</v>
      </c>
      <c r="F58" s="22"/>
      <c r="G58" s="22">
        <v>8200000</v>
      </c>
      <c r="H58" s="22">
        <v>8200000</v>
      </c>
      <c r="I58" s="22"/>
      <c r="J58" s="22"/>
      <c r="K58" s="22"/>
      <c r="L58" s="22"/>
      <c r="M58" s="22"/>
      <c r="N58" s="22"/>
      <c r="O58" s="22"/>
      <c r="P58" s="22"/>
      <c r="Q58" s="22"/>
    </row>
    <row r="59" ht="21" customHeight="1" spans="1:17">
      <c r="A59" s="76" t="s">
        <v>266</v>
      </c>
      <c r="B59" s="74" t="s">
        <v>649</v>
      </c>
      <c r="C59" s="74" t="s">
        <v>650</v>
      </c>
      <c r="D59" s="95" t="s">
        <v>365</v>
      </c>
      <c r="E59" s="96">
        <v>1</v>
      </c>
      <c r="F59" s="22"/>
      <c r="G59" s="22">
        <v>500000</v>
      </c>
      <c r="H59" s="22">
        <v>500000</v>
      </c>
      <c r="I59" s="22"/>
      <c r="J59" s="22"/>
      <c r="K59" s="22"/>
      <c r="L59" s="22"/>
      <c r="M59" s="22"/>
      <c r="N59" s="22"/>
      <c r="O59" s="22"/>
      <c r="P59" s="22"/>
      <c r="Q59" s="22"/>
    </row>
    <row r="60" ht="21" customHeight="1" spans="1:17">
      <c r="A60" s="76" t="s">
        <v>266</v>
      </c>
      <c r="B60" s="74" t="s">
        <v>651</v>
      </c>
      <c r="C60" s="74" t="s">
        <v>652</v>
      </c>
      <c r="D60" s="95" t="s">
        <v>365</v>
      </c>
      <c r="E60" s="96">
        <v>1</v>
      </c>
      <c r="F60" s="22">
        <v>620000</v>
      </c>
      <c r="G60" s="22">
        <v>620000</v>
      </c>
      <c r="H60" s="22">
        <v>620000</v>
      </c>
      <c r="I60" s="22"/>
      <c r="J60" s="22"/>
      <c r="K60" s="22"/>
      <c r="L60" s="22"/>
      <c r="M60" s="22"/>
      <c r="N60" s="22"/>
      <c r="O60" s="22"/>
      <c r="P60" s="22"/>
      <c r="Q60" s="22"/>
    </row>
    <row r="61" ht="21" customHeight="1" spans="1:17">
      <c r="A61" s="76" t="s">
        <v>266</v>
      </c>
      <c r="B61" s="74" t="s">
        <v>653</v>
      </c>
      <c r="C61" s="74" t="s">
        <v>652</v>
      </c>
      <c r="D61" s="95" t="s">
        <v>365</v>
      </c>
      <c r="E61" s="96">
        <v>1</v>
      </c>
      <c r="F61" s="22">
        <v>200000</v>
      </c>
      <c r="G61" s="22">
        <v>200000</v>
      </c>
      <c r="H61" s="22">
        <v>200000</v>
      </c>
      <c r="I61" s="22"/>
      <c r="J61" s="22"/>
      <c r="K61" s="22"/>
      <c r="L61" s="22"/>
      <c r="M61" s="22"/>
      <c r="N61" s="22"/>
      <c r="O61" s="22"/>
      <c r="P61" s="22"/>
      <c r="Q61" s="22"/>
    </row>
    <row r="62" ht="21" customHeight="1" spans="1:17">
      <c r="A62" s="76" t="s">
        <v>266</v>
      </c>
      <c r="B62" s="74" t="s">
        <v>654</v>
      </c>
      <c r="C62" s="74" t="s">
        <v>652</v>
      </c>
      <c r="D62" s="95" t="s">
        <v>365</v>
      </c>
      <c r="E62" s="96">
        <v>1</v>
      </c>
      <c r="F62" s="22"/>
      <c r="G62" s="22">
        <v>100000</v>
      </c>
      <c r="H62" s="22">
        <v>100000</v>
      </c>
      <c r="I62" s="22"/>
      <c r="J62" s="22"/>
      <c r="K62" s="22"/>
      <c r="L62" s="22"/>
      <c r="M62" s="22"/>
      <c r="N62" s="22"/>
      <c r="O62" s="22"/>
      <c r="P62" s="22"/>
      <c r="Q62" s="22"/>
    </row>
    <row r="63" ht="21" customHeight="1" spans="1:17">
      <c r="A63" s="76" t="s">
        <v>266</v>
      </c>
      <c r="B63" s="74" t="s">
        <v>655</v>
      </c>
      <c r="C63" s="74" t="s">
        <v>652</v>
      </c>
      <c r="D63" s="95" t="s">
        <v>365</v>
      </c>
      <c r="E63" s="96">
        <v>1</v>
      </c>
      <c r="F63" s="22">
        <v>450000</v>
      </c>
      <c r="G63" s="22">
        <v>450000</v>
      </c>
      <c r="H63" s="22">
        <v>450000</v>
      </c>
      <c r="I63" s="22"/>
      <c r="J63" s="22"/>
      <c r="K63" s="22"/>
      <c r="L63" s="22"/>
      <c r="M63" s="22"/>
      <c r="N63" s="22"/>
      <c r="O63" s="22"/>
      <c r="P63" s="22"/>
      <c r="Q63" s="22"/>
    </row>
    <row r="64" ht="21" customHeight="1" spans="1:17">
      <c r="A64" s="76" t="s">
        <v>266</v>
      </c>
      <c r="B64" s="74" t="s">
        <v>656</v>
      </c>
      <c r="C64" s="74" t="s">
        <v>657</v>
      </c>
      <c r="D64" s="95" t="s">
        <v>365</v>
      </c>
      <c r="E64" s="96">
        <v>1</v>
      </c>
      <c r="F64" s="22"/>
      <c r="G64" s="22">
        <v>1487000</v>
      </c>
      <c r="H64" s="22">
        <v>1487000</v>
      </c>
      <c r="I64" s="22"/>
      <c r="J64" s="22"/>
      <c r="K64" s="22"/>
      <c r="L64" s="22"/>
      <c r="M64" s="22"/>
      <c r="N64" s="22"/>
      <c r="O64" s="22"/>
      <c r="P64" s="22"/>
      <c r="Q64" s="22"/>
    </row>
    <row r="65" ht="21" customHeight="1" spans="1:17">
      <c r="A65" s="76" t="s">
        <v>266</v>
      </c>
      <c r="B65" s="74" t="s">
        <v>658</v>
      </c>
      <c r="C65" s="74" t="s">
        <v>659</v>
      </c>
      <c r="D65" s="95" t="s">
        <v>365</v>
      </c>
      <c r="E65" s="96">
        <v>1</v>
      </c>
      <c r="F65" s="22"/>
      <c r="G65" s="22">
        <v>3000000</v>
      </c>
      <c r="H65" s="22">
        <v>3000000</v>
      </c>
      <c r="I65" s="22"/>
      <c r="J65" s="22"/>
      <c r="K65" s="22"/>
      <c r="L65" s="22"/>
      <c r="M65" s="22"/>
      <c r="N65" s="22"/>
      <c r="O65" s="22"/>
      <c r="P65" s="22"/>
      <c r="Q65" s="22"/>
    </row>
    <row r="66" ht="21" customHeight="1" spans="1:17">
      <c r="A66" s="76" t="s">
        <v>266</v>
      </c>
      <c r="B66" s="74" t="s">
        <v>660</v>
      </c>
      <c r="C66" s="74" t="s">
        <v>661</v>
      </c>
      <c r="D66" s="95" t="s">
        <v>365</v>
      </c>
      <c r="E66" s="96">
        <v>1</v>
      </c>
      <c r="F66" s="22">
        <v>2700000</v>
      </c>
      <c r="G66" s="22">
        <v>2700000</v>
      </c>
      <c r="H66" s="22">
        <v>2700000</v>
      </c>
      <c r="I66" s="22"/>
      <c r="J66" s="22"/>
      <c r="K66" s="22"/>
      <c r="L66" s="22"/>
      <c r="M66" s="22"/>
      <c r="N66" s="22"/>
      <c r="O66" s="22"/>
      <c r="P66" s="22"/>
      <c r="Q66" s="22"/>
    </row>
    <row r="67" ht="21" customHeight="1" spans="1:17">
      <c r="A67" s="76" t="s">
        <v>266</v>
      </c>
      <c r="B67" s="74" t="s">
        <v>662</v>
      </c>
      <c r="C67" s="74" t="s">
        <v>661</v>
      </c>
      <c r="D67" s="95" t="s">
        <v>365</v>
      </c>
      <c r="E67" s="96">
        <v>1</v>
      </c>
      <c r="F67" s="22"/>
      <c r="G67" s="22">
        <v>1000000</v>
      </c>
      <c r="H67" s="22">
        <v>1000000</v>
      </c>
      <c r="I67" s="22"/>
      <c r="J67" s="22"/>
      <c r="K67" s="22"/>
      <c r="L67" s="22"/>
      <c r="M67" s="22"/>
      <c r="N67" s="22"/>
      <c r="O67" s="22"/>
      <c r="P67" s="22"/>
      <c r="Q67" s="22"/>
    </row>
    <row r="68" ht="21" customHeight="1" spans="1:17">
      <c r="A68" s="76" t="s">
        <v>266</v>
      </c>
      <c r="B68" s="74" t="s">
        <v>663</v>
      </c>
      <c r="C68" s="74" t="s">
        <v>664</v>
      </c>
      <c r="D68" s="95" t="s">
        <v>365</v>
      </c>
      <c r="E68" s="96">
        <v>1</v>
      </c>
      <c r="F68" s="22"/>
      <c r="G68" s="22">
        <v>700000</v>
      </c>
      <c r="H68" s="22">
        <v>700000</v>
      </c>
      <c r="I68" s="22"/>
      <c r="J68" s="22"/>
      <c r="K68" s="22"/>
      <c r="L68" s="22"/>
      <c r="M68" s="22"/>
      <c r="N68" s="22"/>
      <c r="O68" s="22"/>
      <c r="P68" s="22"/>
      <c r="Q68" s="22"/>
    </row>
    <row r="69" ht="21" customHeight="1" spans="1:17">
      <c r="A69" s="76" t="s">
        <v>266</v>
      </c>
      <c r="B69" s="74" t="s">
        <v>665</v>
      </c>
      <c r="C69" s="74" t="s">
        <v>664</v>
      </c>
      <c r="D69" s="95" t="s">
        <v>365</v>
      </c>
      <c r="E69" s="96">
        <v>1</v>
      </c>
      <c r="F69" s="22"/>
      <c r="G69" s="22">
        <v>400000</v>
      </c>
      <c r="H69" s="22">
        <v>400000</v>
      </c>
      <c r="I69" s="22"/>
      <c r="J69" s="22"/>
      <c r="K69" s="22"/>
      <c r="L69" s="22"/>
      <c r="M69" s="22"/>
      <c r="N69" s="22"/>
      <c r="O69" s="22"/>
      <c r="P69" s="22"/>
      <c r="Q69" s="22"/>
    </row>
    <row r="70" ht="21" customHeight="1" spans="1:17">
      <c r="A70" s="76" t="s">
        <v>266</v>
      </c>
      <c r="B70" s="74" t="s">
        <v>666</v>
      </c>
      <c r="C70" s="74" t="s">
        <v>664</v>
      </c>
      <c r="D70" s="95" t="s">
        <v>365</v>
      </c>
      <c r="E70" s="96">
        <v>1</v>
      </c>
      <c r="F70" s="22">
        <v>3000000</v>
      </c>
      <c r="G70" s="22">
        <v>3000000</v>
      </c>
      <c r="H70" s="22">
        <v>3000000</v>
      </c>
      <c r="I70" s="22"/>
      <c r="J70" s="22"/>
      <c r="K70" s="22"/>
      <c r="L70" s="22"/>
      <c r="M70" s="22"/>
      <c r="N70" s="22"/>
      <c r="O70" s="22"/>
      <c r="P70" s="22"/>
      <c r="Q70" s="22"/>
    </row>
    <row r="71" ht="21" customHeight="1" spans="1:17">
      <c r="A71" s="76" t="s">
        <v>266</v>
      </c>
      <c r="B71" s="74" t="s">
        <v>667</v>
      </c>
      <c r="C71" s="74" t="s">
        <v>664</v>
      </c>
      <c r="D71" s="95" t="s">
        <v>365</v>
      </c>
      <c r="E71" s="96">
        <v>1</v>
      </c>
      <c r="F71" s="22"/>
      <c r="G71" s="22">
        <v>450000</v>
      </c>
      <c r="H71" s="22">
        <v>450000</v>
      </c>
      <c r="I71" s="22"/>
      <c r="J71" s="22"/>
      <c r="K71" s="22"/>
      <c r="L71" s="22"/>
      <c r="M71" s="22"/>
      <c r="N71" s="22"/>
      <c r="O71" s="22"/>
      <c r="P71" s="22"/>
      <c r="Q71" s="22"/>
    </row>
    <row r="72" ht="21" customHeight="1" spans="1:17">
      <c r="A72" s="76" t="s">
        <v>266</v>
      </c>
      <c r="B72" s="74" t="s">
        <v>668</v>
      </c>
      <c r="C72" s="74" t="s">
        <v>664</v>
      </c>
      <c r="D72" s="95" t="s">
        <v>365</v>
      </c>
      <c r="E72" s="96">
        <v>1</v>
      </c>
      <c r="F72" s="22"/>
      <c r="G72" s="22">
        <v>400000</v>
      </c>
      <c r="H72" s="22">
        <v>400000</v>
      </c>
      <c r="I72" s="22"/>
      <c r="J72" s="22"/>
      <c r="K72" s="22"/>
      <c r="L72" s="22"/>
      <c r="M72" s="22"/>
      <c r="N72" s="22"/>
      <c r="O72" s="22"/>
      <c r="P72" s="22"/>
      <c r="Q72" s="22"/>
    </row>
    <row r="73" ht="21" customHeight="1" spans="1:17">
      <c r="A73" s="76" t="s">
        <v>266</v>
      </c>
      <c r="B73" s="74" t="s">
        <v>669</v>
      </c>
      <c r="C73" s="74" t="s">
        <v>664</v>
      </c>
      <c r="D73" s="95" t="s">
        <v>365</v>
      </c>
      <c r="E73" s="96">
        <v>1</v>
      </c>
      <c r="F73" s="22"/>
      <c r="G73" s="22">
        <v>500000</v>
      </c>
      <c r="H73" s="22">
        <v>500000</v>
      </c>
      <c r="I73" s="22"/>
      <c r="J73" s="22"/>
      <c r="K73" s="22"/>
      <c r="L73" s="22"/>
      <c r="M73" s="22"/>
      <c r="N73" s="22"/>
      <c r="O73" s="22"/>
      <c r="P73" s="22"/>
      <c r="Q73" s="22"/>
    </row>
    <row r="74" ht="21" customHeight="1" spans="1:17">
      <c r="A74" s="76" t="s">
        <v>266</v>
      </c>
      <c r="B74" s="74" t="s">
        <v>670</v>
      </c>
      <c r="C74" s="74" t="s">
        <v>671</v>
      </c>
      <c r="D74" s="95" t="s">
        <v>365</v>
      </c>
      <c r="E74" s="96">
        <v>1</v>
      </c>
      <c r="F74" s="22"/>
      <c r="G74" s="22">
        <v>350000</v>
      </c>
      <c r="H74" s="22">
        <v>350000</v>
      </c>
      <c r="I74" s="22"/>
      <c r="J74" s="22"/>
      <c r="K74" s="22"/>
      <c r="L74" s="22"/>
      <c r="M74" s="22"/>
      <c r="N74" s="22"/>
      <c r="O74" s="22"/>
      <c r="P74" s="22"/>
      <c r="Q74" s="22"/>
    </row>
    <row r="75" ht="21" customHeight="1" spans="1:17">
      <c r="A75" s="76" t="s">
        <v>266</v>
      </c>
      <c r="B75" s="74" t="s">
        <v>672</v>
      </c>
      <c r="C75" s="74" t="s">
        <v>671</v>
      </c>
      <c r="D75" s="95" t="s">
        <v>365</v>
      </c>
      <c r="E75" s="96">
        <v>1</v>
      </c>
      <c r="F75" s="22"/>
      <c r="G75" s="22">
        <v>450000</v>
      </c>
      <c r="H75" s="22">
        <v>450000</v>
      </c>
      <c r="I75" s="22"/>
      <c r="J75" s="22"/>
      <c r="K75" s="22"/>
      <c r="L75" s="22"/>
      <c r="M75" s="22"/>
      <c r="N75" s="22"/>
      <c r="O75" s="22"/>
      <c r="P75" s="22"/>
      <c r="Q75" s="22"/>
    </row>
    <row r="76" ht="21" customHeight="1" spans="1:17">
      <c r="A76" s="76" t="s">
        <v>266</v>
      </c>
      <c r="B76" s="74" t="s">
        <v>673</v>
      </c>
      <c r="C76" s="74" t="s">
        <v>671</v>
      </c>
      <c r="D76" s="95" t="s">
        <v>365</v>
      </c>
      <c r="E76" s="96">
        <v>1</v>
      </c>
      <c r="F76" s="22"/>
      <c r="G76" s="22">
        <v>3000000</v>
      </c>
      <c r="H76" s="22">
        <v>3000000</v>
      </c>
      <c r="I76" s="22"/>
      <c r="J76" s="22"/>
      <c r="K76" s="22"/>
      <c r="L76" s="22"/>
      <c r="M76" s="22"/>
      <c r="N76" s="22"/>
      <c r="O76" s="22"/>
      <c r="P76" s="22"/>
      <c r="Q76" s="22"/>
    </row>
    <row r="77" ht="21" customHeight="1" spans="1:17">
      <c r="A77" s="76" t="s">
        <v>266</v>
      </c>
      <c r="B77" s="74" t="s">
        <v>674</v>
      </c>
      <c r="C77" s="74" t="s">
        <v>675</v>
      </c>
      <c r="D77" s="95" t="s">
        <v>365</v>
      </c>
      <c r="E77" s="96">
        <v>1</v>
      </c>
      <c r="F77" s="22"/>
      <c r="G77" s="22">
        <v>200000</v>
      </c>
      <c r="H77" s="22">
        <v>200000</v>
      </c>
      <c r="I77" s="22"/>
      <c r="J77" s="22"/>
      <c r="K77" s="22"/>
      <c r="L77" s="22"/>
      <c r="M77" s="22"/>
      <c r="N77" s="22"/>
      <c r="O77" s="22"/>
      <c r="P77" s="22"/>
      <c r="Q77" s="22"/>
    </row>
    <row r="78" ht="21" customHeight="1" spans="1:17">
      <c r="A78" s="76" t="s">
        <v>266</v>
      </c>
      <c r="B78" s="74" t="s">
        <v>676</v>
      </c>
      <c r="C78" s="74" t="s">
        <v>677</v>
      </c>
      <c r="D78" s="95" t="s">
        <v>365</v>
      </c>
      <c r="E78" s="96">
        <v>1</v>
      </c>
      <c r="F78" s="22"/>
      <c r="G78" s="22">
        <v>1409400</v>
      </c>
      <c r="H78" s="22">
        <v>1409400</v>
      </c>
      <c r="I78" s="22"/>
      <c r="J78" s="22"/>
      <c r="K78" s="22"/>
      <c r="L78" s="22"/>
      <c r="M78" s="22"/>
      <c r="N78" s="22"/>
      <c r="O78" s="22"/>
      <c r="P78" s="22"/>
      <c r="Q78" s="22"/>
    </row>
    <row r="79" ht="21" customHeight="1" spans="1:17">
      <c r="A79" s="76" t="s">
        <v>266</v>
      </c>
      <c r="B79" s="74" t="s">
        <v>678</v>
      </c>
      <c r="C79" s="74" t="s">
        <v>677</v>
      </c>
      <c r="D79" s="95" t="s">
        <v>365</v>
      </c>
      <c r="E79" s="96">
        <v>1</v>
      </c>
      <c r="F79" s="22"/>
      <c r="G79" s="22">
        <v>5943800</v>
      </c>
      <c r="H79" s="22">
        <v>5943800</v>
      </c>
      <c r="I79" s="22"/>
      <c r="J79" s="22"/>
      <c r="K79" s="22"/>
      <c r="L79" s="22"/>
      <c r="M79" s="22"/>
      <c r="N79" s="22"/>
      <c r="O79" s="22"/>
      <c r="P79" s="22"/>
      <c r="Q79" s="22"/>
    </row>
    <row r="80" ht="21" customHeight="1" spans="1:17">
      <c r="A80" s="76" t="s">
        <v>266</v>
      </c>
      <c r="B80" s="74" t="s">
        <v>679</v>
      </c>
      <c r="C80" s="74" t="s">
        <v>680</v>
      </c>
      <c r="D80" s="95" t="s">
        <v>365</v>
      </c>
      <c r="E80" s="96">
        <v>1</v>
      </c>
      <c r="F80" s="22"/>
      <c r="G80" s="22">
        <v>4000000</v>
      </c>
      <c r="H80" s="22">
        <v>4000000</v>
      </c>
      <c r="I80" s="22"/>
      <c r="J80" s="22"/>
      <c r="K80" s="22"/>
      <c r="L80" s="22"/>
      <c r="M80" s="22"/>
      <c r="N80" s="22"/>
      <c r="O80" s="22"/>
      <c r="P80" s="22"/>
      <c r="Q80" s="22"/>
    </row>
    <row r="81" ht="21" customHeight="1" spans="1:17">
      <c r="A81" s="76" t="s">
        <v>266</v>
      </c>
      <c r="B81" s="74" t="s">
        <v>681</v>
      </c>
      <c r="C81" s="74" t="s">
        <v>682</v>
      </c>
      <c r="D81" s="95" t="s">
        <v>365</v>
      </c>
      <c r="E81" s="96">
        <v>1</v>
      </c>
      <c r="F81" s="22">
        <v>1300000</v>
      </c>
      <c r="G81" s="22">
        <v>1300000</v>
      </c>
      <c r="H81" s="22">
        <v>1300000</v>
      </c>
      <c r="I81" s="22"/>
      <c r="J81" s="22"/>
      <c r="K81" s="22"/>
      <c r="L81" s="22"/>
      <c r="M81" s="22"/>
      <c r="N81" s="22"/>
      <c r="O81" s="22"/>
      <c r="P81" s="22"/>
      <c r="Q81" s="22"/>
    </row>
    <row r="82" ht="21" customHeight="1" spans="1:17">
      <c r="A82" s="76" t="s">
        <v>266</v>
      </c>
      <c r="B82" s="74" t="s">
        <v>683</v>
      </c>
      <c r="C82" s="74" t="s">
        <v>682</v>
      </c>
      <c r="D82" s="95" t="s">
        <v>365</v>
      </c>
      <c r="E82" s="96">
        <v>1</v>
      </c>
      <c r="F82" s="22"/>
      <c r="G82" s="22">
        <v>930000</v>
      </c>
      <c r="H82" s="22">
        <v>930000</v>
      </c>
      <c r="I82" s="22"/>
      <c r="J82" s="22"/>
      <c r="K82" s="22"/>
      <c r="L82" s="22"/>
      <c r="M82" s="22"/>
      <c r="N82" s="22"/>
      <c r="O82" s="22"/>
      <c r="P82" s="22"/>
      <c r="Q82" s="22"/>
    </row>
    <row r="83" ht="21" customHeight="1" spans="1:17">
      <c r="A83" s="76" t="s">
        <v>266</v>
      </c>
      <c r="B83" s="74" t="s">
        <v>684</v>
      </c>
      <c r="C83" s="74" t="s">
        <v>682</v>
      </c>
      <c r="D83" s="95" t="s">
        <v>365</v>
      </c>
      <c r="E83" s="96">
        <v>1</v>
      </c>
      <c r="F83" s="22">
        <v>250000</v>
      </c>
      <c r="G83" s="22">
        <v>250000</v>
      </c>
      <c r="H83" s="22">
        <v>250000</v>
      </c>
      <c r="I83" s="22"/>
      <c r="J83" s="22"/>
      <c r="K83" s="22"/>
      <c r="L83" s="22"/>
      <c r="M83" s="22"/>
      <c r="N83" s="22"/>
      <c r="O83" s="22"/>
      <c r="P83" s="22"/>
      <c r="Q83" s="22"/>
    </row>
    <row r="84" ht="21" customHeight="1" spans="1:17">
      <c r="A84" s="76" t="s">
        <v>266</v>
      </c>
      <c r="B84" s="74" t="s">
        <v>685</v>
      </c>
      <c r="C84" s="74" t="s">
        <v>682</v>
      </c>
      <c r="D84" s="95" t="s">
        <v>365</v>
      </c>
      <c r="E84" s="96">
        <v>1</v>
      </c>
      <c r="F84" s="22">
        <v>500000</v>
      </c>
      <c r="G84" s="22">
        <v>500000</v>
      </c>
      <c r="H84" s="22">
        <v>500000</v>
      </c>
      <c r="I84" s="22"/>
      <c r="J84" s="22"/>
      <c r="K84" s="22"/>
      <c r="L84" s="22"/>
      <c r="M84" s="22"/>
      <c r="N84" s="22"/>
      <c r="O84" s="22"/>
      <c r="P84" s="22"/>
      <c r="Q84" s="22"/>
    </row>
    <row r="85" ht="21" customHeight="1" spans="1:17">
      <c r="A85" s="76" t="s">
        <v>266</v>
      </c>
      <c r="B85" s="74" t="s">
        <v>686</v>
      </c>
      <c r="C85" s="74" t="s">
        <v>682</v>
      </c>
      <c r="D85" s="95" t="s">
        <v>365</v>
      </c>
      <c r="E85" s="96">
        <v>1</v>
      </c>
      <c r="F85" s="22"/>
      <c r="G85" s="22">
        <v>990000</v>
      </c>
      <c r="H85" s="22">
        <v>990000</v>
      </c>
      <c r="I85" s="22"/>
      <c r="J85" s="22"/>
      <c r="K85" s="22"/>
      <c r="L85" s="22"/>
      <c r="M85" s="22"/>
      <c r="N85" s="22"/>
      <c r="O85" s="22"/>
      <c r="P85" s="22"/>
      <c r="Q85" s="22"/>
    </row>
    <row r="86" ht="21" customHeight="1" spans="1:17">
      <c r="A86" s="76" t="s">
        <v>266</v>
      </c>
      <c r="B86" s="74" t="s">
        <v>687</v>
      </c>
      <c r="C86" s="74" t="s">
        <v>688</v>
      </c>
      <c r="D86" s="95" t="s">
        <v>365</v>
      </c>
      <c r="E86" s="96">
        <v>1</v>
      </c>
      <c r="F86" s="22"/>
      <c r="G86" s="22">
        <v>1780000</v>
      </c>
      <c r="H86" s="22">
        <v>1780000</v>
      </c>
      <c r="I86" s="22"/>
      <c r="J86" s="22"/>
      <c r="K86" s="22"/>
      <c r="L86" s="22"/>
      <c r="M86" s="22"/>
      <c r="N86" s="22"/>
      <c r="O86" s="22"/>
      <c r="P86" s="22"/>
      <c r="Q86" s="22"/>
    </row>
    <row r="87" ht="21" customHeight="1" spans="1:17">
      <c r="A87" s="76" t="s">
        <v>266</v>
      </c>
      <c r="B87" s="74" t="s">
        <v>689</v>
      </c>
      <c r="C87" s="74" t="s">
        <v>688</v>
      </c>
      <c r="D87" s="95" t="s">
        <v>365</v>
      </c>
      <c r="E87" s="96">
        <v>1</v>
      </c>
      <c r="F87" s="22"/>
      <c r="G87" s="22">
        <v>280800</v>
      </c>
      <c r="H87" s="22">
        <v>280800</v>
      </c>
      <c r="I87" s="22"/>
      <c r="J87" s="22"/>
      <c r="K87" s="22"/>
      <c r="L87" s="22"/>
      <c r="M87" s="22"/>
      <c r="N87" s="22"/>
      <c r="O87" s="22"/>
      <c r="P87" s="22"/>
      <c r="Q87" s="22"/>
    </row>
    <row r="88" ht="21" customHeight="1" spans="1:17">
      <c r="A88" s="76" t="s">
        <v>266</v>
      </c>
      <c r="B88" s="74" t="s">
        <v>690</v>
      </c>
      <c r="C88" s="74" t="s">
        <v>578</v>
      </c>
      <c r="D88" s="95" t="s">
        <v>365</v>
      </c>
      <c r="E88" s="96">
        <v>1</v>
      </c>
      <c r="F88" s="22">
        <v>150000</v>
      </c>
      <c r="G88" s="22">
        <v>150000</v>
      </c>
      <c r="H88" s="22">
        <v>150000</v>
      </c>
      <c r="I88" s="22"/>
      <c r="J88" s="22"/>
      <c r="K88" s="22"/>
      <c r="L88" s="22"/>
      <c r="M88" s="22"/>
      <c r="N88" s="22"/>
      <c r="O88" s="22"/>
      <c r="P88" s="22"/>
      <c r="Q88" s="22"/>
    </row>
    <row r="89" ht="21" customHeight="1" spans="1:17">
      <c r="A89" s="76" t="s">
        <v>266</v>
      </c>
      <c r="B89" s="74" t="s">
        <v>691</v>
      </c>
      <c r="C89" s="74" t="s">
        <v>578</v>
      </c>
      <c r="D89" s="95" t="s">
        <v>365</v>
      </c>
      <c r="E89" s="96">
        <v>1</v>
      </c>
      <c r="F89" s="22">
        <v>300000</v>
      </c>
      <c r="G89" s="22">
        <v>300000</v>
      </c>
      <c r="H89" s="22">
        <v>300000</v>
      </c>
      <c r="I89" s="22"/>
      <c r="J89" s="22"/>
      <c r="K89" s="22"/>
      <c r="L89" s="22"/>
      <c r="M89" s="22"/>
      <c r="N89" s="22"/>
      <c r="O89" s="22"/>
      <c r="P89" s="22"/>
      <c r="Q89" s="22"/>
    </row>
    <row r="90" ht="21" customHeight="1" spans="1:17">
      <c r="A90" s="76" t="s">
        <v>266</v>
      </c>
      <c r="B90" s="74" t="s">
        <v>692</v>
      </c>
      <c r="C90" s="74" t="s">
        <v>578</v>
      </c>
      <c r="D90" s="95" t="s">
        <v>365</v>
      </c>
      <c r="E90" s="96">
        <v>1</v>
      </c>
      <c r="F90" s="22">
        <v>300000</v>
      </c>
      <c r="G90" s="22">
        <v>300000</v>
      </c>
      <c r="H90" s="22">
        <v>300000</v>
      </c>
      <c r="I90" s="22"/>
      <c r="J90" s="22"/>
      <c r="K90" s="22"/>
      <c r="L90" s="22"/>
      <c r="M90" s="22"/>
      <c r="N90" s="22"/>
      <c r="O90" s="22"/>
      <c r="P90" s="22"/>
      <c r="Q90" s="22"/>
    </row>
    <row r="91" ht="21" customHeight="1" spans="1:17">
      <c r="A91" s="76" t="s">
        <v>266</v>
      </c>
      <c r="B91" s="74" t="s">
        <v>693</v>
      </c>
      <c r="C91" s="74" t="s">
        <v>578</v>
      </c>
      <c r="D91" s="95" t="s">
        <v>365</v>
      </c>
      <c r="E91" s="96">
        <v>1</v>
      </c>
      <c r="F91" s="22"/>
      <c r="G91" s="22">
        <v>2500000</v>
      </c>
      <c r="H91" s="22">
        <v>2500000</v>
      </c>
      <c r="I91" s="22"/>
      <c r="J91" s="22"/>
      <c r="K91" s="22"/>
      <c r="L91" s="22"/>
      <c r="M91" s="22"/>
      <c r="N91" s="22"/>
      <c r="O91" s="22"/>
      <c r="P91" s="22"/>
      <c r="Q91" s="22"/>
    </row>
    <row r="92" ht="21" customHeight="1" spans="1:17">
      <c r="A92" s="76" t="s">
        <v>266</v>
      </c>
      <c r="B92" s="74" t="s">
        <v>694</v>
      </c>
      <c r="C92" s="74" t="s">
        <v>695</v>
      </c>
      <c r="D92" s="95" t="s">
        <v>365</v>
      </c>
      <c r="E92" s="96">
        <v>1</v>
      </c>
      <c r="F92" s="22">
        <v>600000</v>
      </c>
      <c r="G92" s="22">
        <v>600000</v>
      </c>
      <c r="H92" s="22">
        <v>600000</v>
      </c>
      <c r="I92" s="22"/>
      <c r="J92" s="22"/>
      <c r="K92" s="22"/>
      <c r="L92" s="22"/>
      <c r="M92" s="22"/>
      <c r="N92" s="22"/>
      <c r="O92" s="22"/>
      <c r="P92" s="22"/>
      <c r="Q92" s="22"/>
    </row>
    <row r="93" ht="21" customHeight="1" spans="1:17">
      <c r="A93" s="76" t="s">
        <v>266</v>
      </c>
      <c r="B93" s="74" t="s">
        <v>696</v>
      </c>
      <c r="C93" s="74" t="s">
        <v>697</v>
      </c>
      <c r="D93" s="95" t="s">
        <v>365</v>
      </c>
      <c r="E93" s="96">
        <v>1</v>
      </c>
      <c r="F93" s="22"/>
      <c r="G93" s="22">
        <v>400000</v>
      </c>
      <c r="H93" s="22">
        <v>400000</v>
      </c>
      <c r="I93" s="22"/>
      <c r="J93" s="22"/>
      <c r="K93" s="22"/>
      <c r="L93" s="22"/>
      <c r="M93" s="22"/>
      <c r="N93" s="22"/>
      <c r="O93" s="22"/>
      <c r="P93" s="22"/>
      <c r="Q93" s="22"/>
    </row>
    <row r="94" ht="21" customHeight="1" spans="1:17">
      <c r="A94" s="76" t="s">
        <v>266</v>
      </c>
      <c r="B94" s="74" t="s">
        <v>698</v>
      </c>
      <c r="C94" s="74" t="s">
        <v>697</v>
      </c>
      <c r="D94" s="95" t="s">
        <v>365</v>
      </c>
      <c r="E94" s="96">
        <v>1</v>
      </c>
      <c r="F94" s="22">
        <v>500000</v>
      </c>
      <c r="G94" s="22">
        <v>500000</v>
      </c>
      <c r="H94" s="22">
        <v>500000</v>
      </c>
      <c r="I94" s="22"/>
      <c r="J94" s="22"/>
      <c r="K94" s="22"/>
      <c r="L94" s="22"/>
      <c r="M94" s="22"/>
      <c r="N94" s="22"/>
      <c r="O94" s="22"/>
      <c r="P94" s="22"/>
      <c r="Q94" s="22"/>
    </row>
    <row r="95" ht="21" customHeight="1" spans="1:17">
      <c r="A95" s="76" t="s">
        <v>266</v>
      </c>
      <c r="B95" s="74" t="s">
        <v>699</v>
      </c>
      <c r="C95" s="74" t="s">
        <v>697</v>
      </c>
      <c r="D95" s="95" t="s">
        <v>365</v>
      </c>
      <c r="E95" s="96">
        <v>1</v>
      </c>
      <c r="F95" s="22">
        <v>1800000</v>
      </c>
      <c r="G95" s="22">
        <v>1800000</v>
      </c>
      <c r="H95" s="22">
        <v>1800000</v>
      </c>
      <c r="I95" s="22"/>
      <c r="J95" s="22"/>
      <c r="K95" s="22"/>
      <c r="L95" s="22"/>
      <c r="M95" s="22"/>
      <c r="N95" s="22"/>
      <c r="O95" s="22"/>
      <c r="P95" s="22"/>
      <c r="Q95" s="22"/>
    </row>
    <row r="96" ht="21" customHeight="1" spans="1:17">
      <c r="A96" s="76" t="s">
        <v>266</v>
      </c>
      <c r="B96" s="74" t="s">
        <v>700</v>
      </c>
      <c r="C96" s="74" t="s">
        <v>701</v>
      </c>
      <c r="D96" s="95" t="s">
        <v>365</v>
      </c>
      <c r="E96" s="96">
        <v>1</v>
      </c>
      <c r="F96" s="22"/>
      <c r="G96" s="22">
        <v>1900000</v>
      </c>
      <c r="H96" s="22">
        <v>1900000</v>
      </c>
      <c r="I96" s="22"/>
      <c r="J96" s="22"/>
      <c r="K96" s="22"/>
      <c r="L96" s="22"/>
      <c r="M96" s="22"/>
      <c r="N96" s="22"/>
      <c r="O96" s="22"/>
      <c r="P96" s="22"/>
      <c r="Q96" s="22"/>
    </row>
    <row r="97" ht="21" customHeight="1" spans="1:17">
      <c r="A97" s="76" t="s">
        <v>266</v>
      </c>
      <c r="B97" s="74" t="s">
        <v>702</v>
      </c>
      <c r="C97" s="74" t="s">
        <v>701</v>
      </c>
      <c r="D97" s="95" t="s">
        <v>365</v>
      </c>
      <c r="E97" s="96">
        <v>1</v>
      </c>
      <c r="F97" s="22"/>
      <c r="G97" s="22">
        <v>900000</v>
      </c>
      <c r="H97" s="22">
        <v>900000</v>
      </c>
      <c r="I97" s="22"/>
      <c r="J97" s="22"/>
      <c r="K97" s="22"/>
      <c r="L97" s="22"/>
      <c r="M97" s="22"/>
      <c r="N97" s="22"/>
      <c r="O97" s="22"/>
      <c r="P97" s="22"/>
      <c r="Q97" s="22"/>
    </row>
    <row r="98" ht="21" customHeight="1" spans="1:17">
      <c r="A98" s="76" t="s">
        <v>266</v>
      </c>
      <c r="B98" s="74" t="s">
        <v>703</v>
      </c>
      <c r="C98" s="74" t="s">
        <v>587</v>
      </c>
      <c r="D98" s="95" t="s">
        <v>365</v>
      </c>
      <c r="E98" s="96">
        <v>1</v>
      </c>
      <c r="F98" s="22"/>
      <c r="G98" s="22">
        <v>280000</v>
      </c>
      <c r="H98" s="22">
        <v>280000</v>
      </c>
      <c r="I98" s="22"/>
      <c r="J98" s="22"/>
      <c r="K98" s="22"/>
      <c r="L98" s="22"/>
      <c r="M98" s="22"/>
      <c r="N98" s="22"/>
      <c r="O98" s="22"/>
      <c r="P98" s="22"/>
      <c r="Q98" s="22"/>
    </row>
    <row r="99" ht="21" customHeight="1" spans="1:17">
      <c r="A99" s="76" t="s">
        <v>276</v>
      </c>
      <c r="B99" s="74" t="s">
        <v>704</v>
      </c>
      <c r="C99" s="74" t="s">
        <v>705</v>
      </c>
      <c r="D99" s="95" t="s">
        <v>530</v>
      </c>
      <c r="E99" s="96">
        <v>1</v>
      </c>
      <c r="F99" s="22"/>
      <c r="G99" s="22">
        <v>550000</v>
      </c>
      <c r="H99" s="22">
        <v>550000</v>
      </c>
      <c r="I99" s="22"/>
      <c r="J99" s="22"/>
      <c r="K99" s="22"/>
      <c r="L99" s="22"/>
      <c r="M99" s="22"/>
      <c r="N99" s="22"/>
      <c r="O99" s="22"/>
      <c r="P99" s="22"/>
      <c r="Q99" s="22"/>
    </row>
    <row r="100" ht="21" customHeight="1" spans="1:17">
      <c r="A100" s="76" t="s">
        <v>276</v>
      </c>
      <c r="B100" s="74" t="s">
        <v>706</v>
      </c>
      <c r="C100" s="74" t="s">
        <v>707</v>
      </c>
      <c r="D100" s="95" t="s">
        <v>365</v>
      </c>
      <c r="E100" s="96">
        <v>1</v>
      </c>
      <c r="F100" s="22"/>
      <c r="G100" s="22">
        <v>400000</v>
      </c>
      <c r="H100" s="22">
        <v>400000</v>
      </c>
      <c r="I100" s="22"/>
      <c r="J100" s="22"/>
      <c r="K100" s="22"/>
      <c r="L100" s="22"/>
      <c r="M100" s="22"/>
      <c r="N100" s="22"/>
      <c r="O100" s="22"/>
      <c r="P100" s="22"/>
      <c r="Q100" s="22"/>
    </row>
    <row r="101" ht="21" customHeight="1" spans="1:17">
      <c r="A101" s="76" t="s">
        <v>276</v>
      </c>
      <c r="B101" s="74" t="s">
        <v>708</v>
      </c>
      <c r="C101" s="74" t="s">
        <v>709</v>
      </c>
      <c r="D101" s="95" t="s">
        <v>530</v>
      </c>
      <c r="E101" s="96">
        <v>1</v>
      </c>
      <c r="F101" s="22"/>
      <c r="G101" s="22">
        <v>3500000</v>
      </c>
      <c r="H101" s="22">
        <v>3500000</v>
      </c>
      <c r="I101" s="22"/>
      <c r="J101" s="22"/>
      <c r="K101" s="22"/>
      <c r="L101" s="22"/>
      <c r="M101" s="22"/>
      <c r="N101" s="22"/>
      <c r="O101" s="22"/>
      <c r="P101" s="22"/>
      <c r="Q101" s="22"/>
    </row>
    <row r="102" ht="21" customHeight="1" spans="1:17">
      <c r="A102" s="76" t="s">
        <v>285</v>
      </c>
      <c r="B102" s="74" t="s">
        <v>710</v>
      </c>
      <c r="C102" s="74" t="s">
        <v>643</v>
      </c>
      <c r="D102" s="95" t="s">
        <v>365</v>
      </c>
      <c r="E102" s="96">
        <v>1</v>
      </c>
      <c r="F102" s="22"/>
      <c r="G102" s="22">
        <v>78000</v>
      </c>
      <c r="H102" s="22">
        <v>78000</v>
      </c>
      <c r="I102" s="22"/>
      <c r="J102" s="22"/>
      <c r="K102" s="22"/>
      <c r="L102" s="22"/>
      <c r="M102" s="22"/>
      <c r="N102" s="22"/>
      <c r="O102" s="22"/>
      <c r="P102" s="22"/>
      <c r="Q102" s="22"/>
    </row>
    <row r="103" ht="21" customHeight="1" spans="1:17">
      <c r="A103" s="76" t="s">
        <v>285</v>
      </c>
      <c r="B103" s="74" t="s">
        <v>711</v>
      </c>
      <c r="C103" s="74" t="s">
        <v>677</v>
      </c>
      <c r="D103" s="95" t="s">
        <v>365</v>
      </c>
      <c r="E103" s="96">
        <v>1</v>
      </c>
      <c r="F103" s="22"/>
      <c r="G103" s="22">
        <v>9155400</v>
      </c>
      <c r="H103" s="22">
        <v>9155400</v>
      </c>
      <c r="I103" s="22"/>
      <c r="J103" s="22"/>
      <c r="K103" s="22"/>
      <c r="L103" s="22"/>
      <c r="M103" s="22"/>
      <c r="N103" s="22"/>
      <c r="O103" s="22"/>
      <c r="P103" s="22"/>
      <c r="Q103" s="22"/>
    </row>
    <row r="104" ht="21" customHeight="1" spans="1:17">
      <c r="A104" s="76" t="s">
        <v>285</v>
      </c>
      <c r="B104" s="74" t="s">
        <v>712</v>
      </c>
      <c r="C104" s="74" t="s">
        <v>713</v>
      </c>
      <c r="D104" s="95" t="s">
        <v>365</v>
      </c>
      <c r="E104" s="96">
        <v>1</v>
      </c>
      <c r="F104" s="22"/>
      <c r="G104" s="22">
        <v>296500</v>
      </c>
      <c r="H104" s="22">
        <v>296500</v>
      </c>
      <c r="I104" s="22"/>
      <c r="J104" s="22"/>
      <c r="K104" s="22"/>
      <c r="L104" s="22"/>
      <c r="M104" s="22"/>
      <c r="N104" s="22"/>
      <c r="O104" s="22"/>
      <c r="P104" s="22"/>
      <c r="Q104" s="22"/>
    </row>
    <row r="105" ht="21" customHeight="1" spans="1:17">
      <c r="A105" s="88" t="s">
        <v>119</v>
      </c>
      <c r="B105" s="89"/>
      <c r="C105" s="89"/>
      <c r="D105" s="89"/>
      <c r="E105" s="94"/>
      <c r="F105" s="22">
        <v>43240000</v>
      </c>
      <c r="G105" s="22">
        <v>130063200</v>
      </c>
      <c r="H105" s="22">
        <v>130063200</v>
      </c>
      <c r="I105" s="22"/>
      <c r="J105" s="22"/>
      <c r="K105" s="22"/>
      <c r="L105" s="22"/>
      <c r="M105" s="22"/>
      <c r="N105" s="22"/>
      <c r="O105" s="22"/>
      <c r="P105" s="22"/>
      <c r="Q105" s="22"/>
    </row>
  </sheetData>
  <mergeCells count="16">
    <mergeCell ref="A2:Q2"/>
    <mergeCell ref="A3:F3"/>
    <mergeCell ref="G4:Q4"/>
    <mergeCell ref="L5:Q5"/>
    <mergeCell ref="A105:E105"/>
    <mergeCell ref="A4:A6"/>
    <mergeCell ref="B4:B6"/>
    <mergeCell ref="C4:C6"/>
    <mergeCell ref="D4:D6"/>
    <mergeCell ref="E4:E6"/>
    <mergeCell ref="F4:F6"/>
    <mergeCell ref="G5:G6"/>
    <mergeCell ref="H5:H6"/>
    <mergeCell ref="I5:I6"/>
    <mergeCell ref="J5:J6"/>
    <mergeCell ref="K5:K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N78"/>
  <sheetViews>
    <sheetView showZeros="0" workbookViewId="0">
      <selection activeCell="A1" sqref="A1 A1 A1 A1 A1 A1 A1 A1 A1 A1 A1 A1 A1 A1"/>
    </sheetView>
  </sheetViews>
  <sheetFormatPr defaultColWidth="9.13888888888889" defaultRowHeight="14.25" customHeight="1"/>
  <cols>
    <col min="1" max="1" width="31.4259259259259" customWidth="1"/>
    <col min="2" max="2" width="21.712962962963" customWidth="1"/>
    <col min="3" max="3" width="26.712962962963" customWidth="1"/>
    <col min="4" max="14" width="16.6018518518519" customWidth="1"/>
  </cols>
  <sheetData>
    <row r="1" ht="13.5" customHeight="1" spans="1:14">
      <c r="A1" s="58"/>
      <c r="B1" s="58"/>
      <c r="C1" s="58"/>
      <c r="D1" s="58"/>
      <c r="E1" s="58"/>
      <c r="F1" s="58"/>
      <c r="G1" s="58"/>
      <c r="H1" s="63"/>
      <c r="I1" s="58"/>
      <c r="J1" s="58"/>
      <c r="K1" s="58"/>
      <c r="L1" s="52"/>
      <c r="M1" s="77"/>
      <c r="N1" s="78" t="s">
        <v>714</v>
      </c>
    </row>
    <row r="2" ht="27.75" customHeight="1" spans="1:14">
      <c r="A2" s="54" t="s">
        <v>715</v>
      </c>
      <c r="B2" s="64"/>
      <c r="C2" s="64"/>
      <c r="D2" s="64"/>
      <c r="E2" s="64"/>
      <c r="F2" s="64"/>
      <c r="G2" s="64"/>
      <c r="H2" s="65"/>
      <c r="I2" s="64"/>
      <c r="J2" s="64"/>
      <c r="K2" s="64"/>
      <c r="L2" s="43"/>
      <c r="M2" s="65"/>
      <c r="N2" s="64"/>
    </row>
    <row r="3" ht="18.75" customHeight="1" spans="1:14">
      <c r="A3" s="55" t="str">
        <f>"单位名称："&amp;"云南省文化和旅游厅"</f>
        <v>单位名称：云南省文化和旅游厅</v>
      </c>
      <c r="B3" s="56"/>
      <c r="C3" s="56"/>
      <c r="D3" s="56"/>
      <c r="E3" s="56"/>
      <c r="F3" s="56"/>
      <c r="G3" s="56"/>
      <c r="H3" s="63"/>
      <c r="I3" s="58"/>
      <c r="J3" s="58"/>
      <c r="K3" s="58"/>
      <c r="L3" s="62"/>
      <c r="M3" s="79"/>
      <c r="N3" s="80" t="s">
        <v>144</v>
      </c>
    </row>
    <row r="4" ht="15.75" customHeight="1" spans="1:14">
      <c r="A4" s="9" t="s">
        <v>556</v>
      </c>
      <c r="B4" s="66" t="s">
        <v>716</v>
      </c>
      <c r="C4" s="66" t="s">
        <v>717</v>
      </c>
      <c r="D4" s="67" t="s">
        <v>160</v>
      </c>
      <c r="E4" s="67"/>
      <c r="F4" s="67"/>
      <c r="G4" s="67"/>
      <c r="H4" s="68"/>
      <c r="I4" s="67"/>
      <c r="J4" s="67"/>
      <c r="K4" s="67"/>
      <c r="L4" s="81"/>
      <c r="M4" s="68"/>
      <c r="N4" s="82"/>
    </row>
    <row r="5" ht="17.25" customHeight="1" spans="1:14">
      <c r="A5" s="14"/>
      <c r="B5" s="69"/>
      <c r="C5" s="69"/>
      <c r="D5" s="69" t="s">
        <v>31</v>
      </c>
      <c r="E5" s="69" t="s">
        <v>34</v>
      </c>
      <c r="F5" s="69" t="s">
        <v>562</v>
      </c>
      <c r="G5" s="69" t="s">
        <v>563</v>
      </c>
      <c r="H5" s="70" t="s">
        <v>564</v>
      </c>
      <c r="I5" s="83" t="s">
        <v>565</v>
      </c>
      <c r="J5" s="83"/>
      <c r="K5" s="83"/>
      <c r="L5" s="84"/>
      <c r="M5" s="85"/>
      <c r="N5" s="71"/>
    </row>
    <row r="6" ht="54" customHeight="1" spans="1:14">
      <c r="A6" s="17"/>
      <c r="B6" s="71"/>
      <c r="C6" s="71"/>
      <c r="D6" s="71"/>
      <c r="E6" s="71"/>
      <c r="F6" s="71"/>
      <c r="G6" s="71"/>
      <c r="H6" s="72"/>
      <c r="I6" s="71" t="s">
        <v>33</v>
      </c>
      <c r="J6" s="71" t="s">
        <v>44</v>
      </c>
      <c r="K6" s="71" t="s">
        <v>167</v>
      </c>
      <c r="L6" s="86" t="s">
        <v>40</v>
      </c>
      <c r="M6" s="72" t="s">
        <v>41</v>
      </c>
      <c r="N6" s="71" t="s">
        <v>42</v>
      </c>
    </row>
    <row r="7" ht="15" customHeight="1" spans="1:14">
      <c r="A7" s="17">
        <v>1</v>
      </c>
      <c r="B7" s="71">
        <v>2</v>
      </c>
      <c r="C7" s="71">
        <v>3</v>
      </c>
      <c r="D7" s="72">
        <v>4</v>
      </c>
      <c r="E7" s="72">
        <v>5</v>
      </c>
      <c r="F7" s="72">
        <v>6</v>
      </c>
      <c r="G7" s="72">
        <v>7</v>
      </c>
      <c r="H7" s="72">
        <v>8</v>
      </c>
      <c r="I7" s="72">
        <v>9</v>
      </c>
      <c r="J7" s="72">
        <v>10</v>
      </c>
      <c r="K7" s="72">
        <v>11</v>
      </c>
      <c r="L7" s="72">
        <v>12</v>
      </c>
      <c r="M7" s="72">
        <v>13</v>
      </c>
      <c r="N7" s="72">
        <v>14</v>
      </c>
    </row>
    <row r="8" ht="21" customHeight="1" spans="1:14">
      <c r="A8" s="73" t="s">
        <v>46</v>
      </c>
      <c r="B8" s="74"/>
      <c r="C8" s="74"/>
      <c r="D8" s="75">
        <v>129219500</v>
      </c>
      <c r="E8" s="75">
        <v>129219500</v>
      </c>
      <c r="F8" s="75"/>
      <c r="G8" s="75"/>
      <c r="H8" s="75"/>
      <c r="I8" s="75"/>
      <c r="J8" s="75"/>
      <c r="K8" s="75"/>
      <c r="L8" s="87"/>
      <c r="M8" s="75"/>
      <c r="N8" s="75"/>
    </row>
    <row r="9" ht="21" customHeight="1" spans="1:14">
      <c r="A9" s="76" t="s">
        <v>274</v>
      </c>
      <c r="B9" s="74" t="s">
        <v>718</v>
      </c>
      <c r="C9" s="74" t="s">
        <v>719</v>
      </c>
      <c r="D9" s="75">
        <v>300000</v>
      </c>
      <c r="E9" s="75">
        <v>300000</v>
      </c>
      <c r="F9" s="75"/>
      <c r="G9" s="75"/>
      <c r="H9" s="75"/>
      <c r="I9" s="75"/>
      <c r="J9" s="75"/>
      <c r="K9" s="75"/>
      <c r="L9" s="87"/>
      <c r="M9" s="75"/>
      <c r="N9" s="75"/>
    </row>
    <row r="10" ht="21" customHeight="1" spans="1:14">
      <c r="A10" s="76" t="s">
        <v>274</v>
      </c>
      <c r="B10" s="74" t="s">
        <v>573</v>
      </c>
      <c r="C10" s="74" t="s">
        <v>720</v>
      </c>
      <c r="D10" s="75">
        <v>200000</v>
      </c>
      <c r="E10" s="75">
        <v>200000</v>
      </c>
      <c r="F10" s="75"/>
      <c r="G10" s="75"/>
      <c r="H10" s="75"/>
      <c r="I10" s="75"/>
      <c r="J10" s="75"/>
      <c r="K10" s="75"/>
      <c r="L10" s="87"/>
      <c r="M10" s="75"/>
      <c r="N10" s="75"/>
    </row>
    <row r="11" ht="21" customHeight="1" spans="1:14">
      <c r="A11" s="76" t="s">
        <v>274</v>
      </c>
      <c r="B11" s="74" t="s">
        <v>574</v>
      </c>
      <c r="C11" s="74" t="s">
        <v>720</v>
      </c>
      <c r="D11" s="75">
        <v>300000</v>
      </c>
      <c r="E11" s="75">
        <v>300000</v>
      </c>
      <c r="F11" s="75"/>
      <c r="G11" s="75"/>
      <c r="H11" s="75"/>
      <c r="I11" s="75"/>
      <c r="J11" s="75"/>
      <c r="K11" s="75"/>
      <c r="L11" s="87"/>
      <c r="M11" s="75"/>
      <c r="N11" s="75"/>
    </row>
    <row r="12" ht="21" customHeight="1" spans="1:14">
      <c r="A12" s="76" t="s">
        <v>274</v>
      </c>
      <c r="B12" s="74" t="s">
        <v>721</v>
      </c>
      <c r="C12" s="74" t="s">
        <v>722</v>
      </c>
      <c r="D12" s="75">
        <v>500000</v>
      </c>
      <c r="E12" s="75">
        <v>500000</v>
      </c>
      <c r="F12" s="75"/>
      <c r="G12" s="75"/>
      <c r="H12" s="75"/>
      <c r="I12" s="75"/>
      <c r="J12" s="75"/>
      <c r="K12" s="75"/>
      <c r="L12" s="87"/>
      <c r="M12" s="75"/>
      <c r="N12" s="75"/>
    </row>
    <row r="13" ht="21" customHeight="1" spans="1:14">
      <c r="A13" s="76" t="s">
        <v>274</v>
      </c>
      <c r="B13" s="74" t="s">
        <v>566</v>
      </c>
      <c r="C13" s="74" t="s">
        <v>723</v>
      </c>
      <c r="D13" s="75">
        <v>120000</v>
      </c>
      <c r="E13" s="75">
        <v>120000</v>
      </c>
      <c r="F13" s="75"/>
      <c r="G13" s="75"/>
      <c r="H13" s="75"/>
      <c r="I13" s="75"/>
      <c r="J13" s="75"/>
      <c r="K13" s="75"/>
      <c r="L13" s="87"/>
      <c r="M13" s="75"/>
      <c r="N13" s="75"/>
    </row>
    <row r="14" ht="21" customHeight="1" spans="1:14">
      <c r="A14" s="76" t="s">
        <v>274</v>
      </c>
      <c r="B14" s="74" t="s">
        <v>724</v>
      </c>
      <c r="C14" s="74" t="s">
        <v>723</v>
      </c>
      <c r="D14" s="75">
        <v>450000</v>
      </c>
      <c r="E14" s="75">
        <v>450000</v>
      </c>
      <c r="F14" s="75"/>
      <c r="G14" s="75"/>
      <c r="H14" s="75"/>
      <c r="I14" s="75"/>
      <c r="J14" s="75"/>
      <c r="K14" s="75"/>
      <c r="L14" s="87"/>
      <c r="M14" s="75"/>
      <c r="N14" s="75"/>
    </row>
    <row r="15" ht="21" customHeight="1" spans="1:14">
      <c r="A15" s="76" t="s">
        <v>274</v>
      </c>
      <c r="B15" s="74" t="s">
        <v>569</v>
      </c>
      <c r="C15" s="74" t="s">
        <v>723</v>
      </c>
      <c r="D15" s="75">
        <v>450000</v>
      </c>
      <c r="E15" s="75">
        <v>450000</v>
      </c>
      <c r="F15" s="75"/>
      <c r="G15" s="75"/>
      <c r="H15" s="75"/>
      <c r="I15" s="75"/>
      <c r="J15" s="75"/>
      <c r="K15" s="75"/>
      <c r="L15" s="87"/>
      <c r="M15" s="75"/>
      <c r="N15" s="75"/>
    </row>
    <row r="16" ht="21" customHeight="1" spans="1:14">
      <c r="A16" s="76" t="s">
        <v>254</v>
      </c>
      <c r="B16" s="74" t="s">
        <v>575</v>
      </c>
      <c r="C16" s="74" t="s">
        <v>725</v>
      </c>
      <c r="D16" s="75">
        <v>1491600</v>
      </c>
      <c r="E16" s="75">
        <v>1491600</v>
      </c>
      <c r="F16" s="75"/>
      <c r="G16" s="75"/>
      <c r="H16" s="75"/>
      <c r="I16" s="75"/>
      <c r="J16" s="75"/>
      <c r="K16" s="75"/>
      <c r="L16" s="87"/>
      <c r="M16" s="75"/>
      <c r="N16" s="75"/>
    </row>
    <row r="17" ht="21" customHeight="1" spans="1:14">
      <c r="A17" s="76" t="s">
        <v>260</v>
      </c>
      <c r="B17" s="74" t="s">
        <v>580</v>
      </c>
      <c r="C17" s="74" t="s">
        <v>726</v>
      </c>
      <c r="D17" s="75">
        <v>1920000</v>
      </c>
      <c r="E17" s="75">
        <v>1920000</v>
      </c>
      <c r="F17" s="75"/>
      <c r="G17" s="75"/>
      <c r="H17" s="75"/>
      <c r="I17" s="75"/>
      <c r="J17" s="75"/>
      <c r="K17" s="75"/>
      <c r="L17" s="87"/>
      <c r="M17" s="75"/>
      <c r="N17" s="75"/>
    </row>
    <row r="18" ht="21" customHeight="1" spans="1:14">
      <c r="A18" s="76" t="s">
        <v>260</v>
      </c>
      <c r="B18" s="74" t="s">
        <v>727</v>
      </c>
      <c r="C18" s="74" t="s">
        <v>728</v>
      </c>
      <c r="D18" s="75">
        <v>3000000</v>
      </c>
      <c r="E18" s="75">
        <v>3000000</v>
      </c>
      <c r="F18" s="75"/>
      <c r="G18" s="75"/>
      <c r="H18" s="75"/>
      <c r="I18" s="75"/>
      <c r="J18" s="75"/>
      <c r="K18" s="75"/>
      <c r="L18" s="87"/>
      <c r="M18" s="75"/>
      <c r="N18" s="75"/>
    </row>
    <row r="19" ht="21" customHeight="1" spans="1:14">
      <c r="A19" s="76" t="s">
        <v>260</v>
      </c>
      <c r="B19" s="74" t="s">
        <v>579</v>
      </c>
      <c r="C19" s="74" t="s">
        <v>728</v>
      </c>
      <c r="D19" s="75">
        <v>2600000</v>
      </c>
      <c r="E19" s="75">
        <v>2600000</v>
      </c>
      <c r="F19" s="75"/>
      <c r="G19" s="75"/>
      <c r="H19" s="75"/>
      <c r="I19" s="75"/>
      <c r="J19" s="75"/>
      <c r="K19" s="75"/>
      <c r="L19" s="87"/>
      <c r="M19" s="75"/>
      <c r="N19" s="75"/>
    </row>
    <row r="20" ht="21" customHeight="1" spans="1:14">
      <c r="A20" s="76" t="s">
        <v>260</v>
      </c>
      <c r="B20" s="74" t="s">
        <v>581</v>
      </c>
      <c r="C20" s="74" t="s">
        <v>728</v>
      </c>
      <c r="D20" s="75">
        <v>1800000</v>
      </c>
      <c r="E20" s="75">
        <v>1800000</v>
      </c>
      <c r="F20" s="75"/>
      <c r="G20" s="75"/>
      <c r="H20" s="75"/>
      <c r="I20" s="75"/>
      <c r="J20" s="75"/>
      <c r="K20" s="75"/>
      <c r="L20" s="87"/>
      <c r="M20" s="75"/>
      <c r="N20" s="75"/>
    </row>
    <row r="21" ht="21" customHeight="1" spans="1:14">
      <c r="A21" s="76" t="s">
        <v>260</v>
      </c>
      <c r="B21" s="74" t="s">
        <v>729</v>
      </c>
      <c r="C21" s="74" t="s">
        <v>728</v>
      </c>
      <c r="D21" s="75">
        <v>700000</v>
      </c>
      <c r="E21" s="75">
        <v>700000</v>
      </c>
      <c r="F21" s="75"/>
      <c r="G21" s="75"/>
      <c r="H21" s="75"/>
      <c r="I21" s="75"/>
      <c r="J21" s="75"/>
      <c r="K21" s="75"/>
      <c r="L21" s="87"/>
      <c r="M21" s="75"/>
      <c r="N21" s="75"/>
    </row>
    <row r="22" ht="21" customHeight="1" spans="1:14">
      <c r="A22" s="76" t="s">
        <v>260</v>
      </c>
      <c r="B22" s="74" t="s">
        <v>588</v>
      </c>
      <c r="C22" s="74" t="s">
        <v>730</v>
      </c>
      <c r="D22" s="75">
        <v>500000</v>
      </c>
      <c r="E22" s="75">
        <v>500000</v>
      </c>
      <c r="F22" s="75"/>
      <c r="G22" s="75"/>
      <c r="H22" s="75"/>
      <c r="I22" s="75"/>
      <c r="J22" s="75"/>
      <c r="K22" s="75"/>
      <c r="L22" s="87"/>
      <c r="M22" s="75"/>
      <c r="N22" s="75"/>
    </row>
    <row r="23" ht="21" customHeight="1" spans="1:14">
      <c r="A23" s="76" t="s">
        <v>260</v>
      </c>
      <c r="B23" s="74" t="s">
        <v>583</v>
      </c>
      <c r="C23" s="74" t="s">
        <v>731</v>
      </c>
      <c r="D23" s="75">
        <v>200000</v>
      </c>
      <c r="E23" s="75">
        <v>200000</v>
      </c>
      <c r="F23" s="75"/>
      <c r="G23" s="75"/>
      <c r="H23" s="75"/>
      <c r="I23" s="75"/>
      <c r="J23" s="75"/>
      <c r="K23" s="75"/>
      <c r="L23" s="87"/>
      <c r="M23" s="75"/>
      <c r="N23" s="75"/>
    </row>
    <row r="24" ht="21" customHeight="1" spans="1:14">
      <c r="A24" s="76" t="s">
        <v>260</v>
      </c>
      <c r="B24" s="74" t="s">
        <v>586</v>
      </c>
      <c r="C24" s="74" t="s">
        <v>732</v>
      </c>
      <c r="D24" s="75">
        <v>1000000</v>
      </c>
      <c r="E24" s="75">
        <v>1000000</v>
      </c>
      <c r="F24" s="75"/>
      <c r="G24" s="75"/>
      <c r="H24" s="75"/>
      <c r="I24" s="75"/>
      <c r="J24" s="75"/>
      <c r="K24" s="75"/>
      <c r="L24" s="87"/>
      <c r="M24" s="75"/>
      <c r="N24" s="75"/>
    </row>
    <row r="25" ht="21" customHeight="1" spans="1:14">
      <c r="A25" s="76" t="s">
        <v>260</v>
      </c>
      <c r="B25" s="74" t="s">
        <v>585</v>
      </c>
      <c r="C25" s="74" t="s">
        <v>733</v>
      </c>
      <c r="D25" s="75">
        <v>720000</v>
      </c>
      <c r="E25" s="75">
        <v>720000</v>
      </c>
      <c r="F25" s="75"/>
      <c r="G25" s="75"/>
      <c r="H25" s="75"/>
      <c r="I25" s="75"/>
      <c r="J25" s="75"/>
      <c r="K25" s="75"/>
      <c r="L25" s="87"/>
      <c r="M25" s="75"/>
      <c r="N25" s="75"/>
    </row>
    <row r="26" ht="21" customHeight="1" spans="1:14">
      <c r="A26" s="76" t="s">
        <v>256</v>
      </c>
      <c r="B26" s="74" t="s">
        <v>590</v>
      </c>
      <c r="C26" s="74" t="s">
        <v>726</v>
      </c>
      <c r="D26" s="75">
        <v>1200000</v>
      </c>
      <c r="E26" s="75">
        <v>1200000</v>
      </c>
      <c r="F26" s="75"/>
      <c r="G26" s="75"/>
      <c r="H26" s="75"/>
      <c r="I26" s="75"/>
      <c r="J26" s="75"/>
      <c r="K26" s="75"/>
      <c r="L26" s="87"/>
      <c r="M26" s="75"/>
      <c r="N26" s="75"/>
    </row>
    <row r="27" ht="21" customHeight="1" spans="1:14">
      <c r="A27" s="76" t="s">
        <v>266</v>
      </c>
      <c r="B27" s="74" t="s">
        <v>734</v>
      </c>
      <c r="C27" s="74" t="s">
        <v>735</v>
      </c>
      <c r="D27" s="75">
        <v>1300000</v>
      </c>
      <c r="E27" s="75">
        <v>1300000</v>
      </c>
      <c r="F27" s="75"/>
      <c r="G27" s="75"/>
      <c r="H27" s="75"/>
      <c r="I27" s="75"/>
      <c r="J27" s="75"/>
      <c r="K27" s="75"/>
      <c r="L27" s="87"/>
      <c r="M27" s="75"/>
      <c r="N27" s="75"/>
    </row>
    <row r="28" ht="21" customHeight="1" spans="1:14">
      <c r="A28" s="76" t="s">
        <v>266</v>
      </c>
      <c r="B28" s="74" t="s">
        <v>736</v>
      </c>
      <c r="C28" s="74" t="s">
        <v>735</v>
      </c>
      <c r="D28" s="75">
        <v>620000</v>
      </c>
      <c r="E28" s="75">
        <v>620000</v>
      </c>
      <c r="F28" s="75"/>
      <c r="G28" s="75"/>
      <c r="H28" s="75"/>
      <c r="I28" s="75"/>
      <c r="J28" s="75"/>
      <c r="K28" s="75"/>
      <c r="L28" s="87"/>
      <c r="M28" s="75"/>
      <c r="N28" s="75"/>
    </row>
    <row r="29" ht="21" customHeight="1" spans="1:14">
      <c r="A29" s="76" t="s">
        <v>266</v>
      </c>
      <c r="B29" s="74" t="s">
        <v>653</v>
      </c>
      <c r="C29" s="74" t="s">
        <v>735</v>
      </c>
      <c r="D29" s="75">
        <v>200000</v>
      </c>
      <c r="E29" s="75">
        <v>200000</v>
      </c>
      <c r="F29" s="75"/>
      <c r="G29" s="75"/>
      <c r="H29" s="75"/>
      <c r="I29" s="75"/>
      <c r="J29" s="75"/>
      <c r="K29" s="75"/>
      <c r="L29" s="87"/>
      <c r="M29" s="75"/>
      <c r="N29" s="75"/>
    </row>
    <row r="30" ht="21" customHeight="1" spans="1:14">
      <c r="A30" s="76" t="s">
        <v>266</v>
      </c>
      <c r="B30" s="74" t="s">
        <v>654</v>
      </c>
      <c r="C30" s="74" t="s">
        <v>735</v>
      </c>
      <c r="D30" s="75">
        <v>100000</v>
      </c>
      <c r="E30" s="75">
        <v>100000</v>
      </c>
      <c r="F30" s="75"/>
      <c r="G30" s="75"/>
      <c r="H30" s="75"/>
      <c r="I30" s="75"/>
      <c r="J30" s="75"/>
      <c r="K30" s="75"/>
      <c r="L30" s="87"/>
      <c r="M30" s="75"/>
      <c r="N30" s="75"/>
    </row>
    <row r="31" ht="21" customHeight="1" spans="1:14">
      <c r="A31" s="76" t="s">
        <v>266</v>
      </c>
      <c r="B31" s="74" t="s">
        <v>655</v>
      </c>
      <c r="C31" s="74" t="s">
        <v>735</v>
      </c>
      <c r="D31" s="75">
        <v>450000</v>
      </c>
      <c r="E31" s="75">
        <v>450000</v>
      </c>
      <c r="F31" s="75"/>
      <c r="G31" s="75"/>
      <c r="H31" s="75"/>
      <c r="I31" s="75"/>
      <c r="J31" s="75"/>
      <c r="K31" s="75"/>
      <c r="L31" s="87"/>
      <c r="M31" s="75"/>
      <c r="N31" s="75"/>
    </row>
    <row r="32" ht="21" customHeight="1" spans="1:14">
      <c r="A32" s="76" t="s">
        <v>266</v>
      </c>
      <c r="B32" s="74" t="s">
        <v>693</v>
      </c>
      <c r="C32" s="74" t="s">
        <v>726</v>
      </c>
      <c r="D32" s="75">
        <v>2500000</v>
      </c>
      <c r="E32" s="75">
        <v>2500000</v>
      </c>
      <c r="F32" s="75"/>
      <c r="G32" s="75"/>
      <c r="H32" s="75"/>
      <c r="I32" s="75"/>
      <c r="J32" s="75"/>
      <c r="K32" s="75"/>
      <c r="L32" s="87"/>
      <c r="M32" s="75"/>
      <c r="N32" s="75"/>
    </row>
    <row r="33" ht="21" customHeight="1" spans="1:14">
      <c r="A33" s="76" t="s">
        <v>266</v>
      </c>
      <c r="B33" s="74" t="s">
        <v>690</v>
      </c>
      <c r="C33" s="74" t="s">
        <v>728</v>
      </c>
      <c r="D33" s="75">
        <v>150000</v>
      </c>
      <c r="E33" s="75">
        <v>150000</v>
      </c>
      <c r="F33" s="75"/>
      <c r="G33" s="75"/>
      <c r="H33" s="75"/>
      <c r="I33" s="75"/>
      <c r="J33" s="75"/>
      <c r="K33" s="75"/>
      <c r="L33" s="87"/>
      <c r="M33" s="75"/>
      <c r="N33" s="75"/>
    </row>
    <row r="34" ht="21" customHeight="1" spans="1:14">
      <c r="A34" s="76" t="s">
        <v>266</v>
      </c>
      <c r="B34" s="74" t="s">
        <v>691</v>
      </c>
      <c r="C34" s="74" t="s">
        <v>728</v>
      </c>
      <c r="D34" s="75">
        <v>300000</v>
      </c>
      <c r="E34" s="75">
        <v>300000</v>
      </c>
      <c r="F34" s="75"/>
      <c r="G34" s="75"/>
      <c r="H34" s="75"/>
      <c r="I34" s="75"/>
      <c r="J34" s="75"/>
      <c r="K34" s="75"/>
      <c r="L34" s="87"/>
      <c r="M34" s="75"/>
      <c r="N34" s="75"/>
    </row>
    <row r="35" ht="21" customHeight="1" spans="1:14">
      <c r="A35" s="76" t="s">
        <v>266</v>
      </c>
      <c r="B35" s="74" t="s">
        <v>692</v>
      </c>
      <c r="C35" s="74" t="s">
        <v>728</v>
      </c>
      <c r="D35" s="75">
        <v>300000</v>
      </c>
      <c r="E35" s="75">
        <v>300000</v>
      </c>
      <c r="F35" s="75"/>
      <c r="G35" s="75"/>
      <c r="H35" s="75"/>
      <c r="I35" s="75"/>
      <c r="J35" s="75"/>
      <c r="K35" s="75"/>
      <c r="L35" s="87"/>
      <c r="M35" s="75"/>
      <c r="N35" s="75"/>
    </row>
    <row r="36" ht="21" customHeight="1" spans="1:14">
      <c r="A36" s="76" t="s">
        <v>266</v>
      </c>
      <c r="B36" s="74" t="s">
        <v>663</v>
      </c>
      <c r="C36" s="74" t="s">
        <v>728</v>
      </c>
      <c r="D36" s="75">
        <v>700000</v>
      </c>
      <c r="E36" s="75">
        <v>700000</v>
      </c>
      <c r="F36" s="75"/>
      <c r="G36" s="75"/>
      <c r="H36" s="75"/>
      <c r="I36" s="75"/>
      <c r="J36" s="75"/>
      <c r="K36" s="75"/>
      <c r="L36" s="87"/>
      <c r="M36" s="75"/>
      <c r="N36" s="75"/>
    </row>
    <row r="37" ht="21" customHeight="1" spans="1:14">
      <c r="A37" s="76" t="s">
        <v>266</v>
      </c>
      <c r="B37" s="74" t="s">
        <v>684</v>
      </c>
      <c r="C37" s="74" t="s">
        <v>728</v>
      </c>
      <c r="D37" s="75">
        <v>250000</v>
      </c>
      <c r="E37" s="75">
        <v>250000</v>
      </c>
      <c r="F37" s="75"/>
      <c r="G37" s="75"/>
      <c r="H37" s="75"/>
      <c r="I37" s="75"/>
      <c r="J37" s="75"/>
      <c r="K37" s="75"/>
      <c r="L37" s="87"/>
      <c r="M37" s="75"/>
      <c r="N37" s="75"/>
    </row>
    <row r="38" ht="21" customHeight="1" spans="1:14">
      <c r="A38" s="76" t="s">
        <v>266</v>
      </c>
      <c r="B38" s="74" t="s">
        <v>665</v>
      </c>
      <c r="C38" s="74" t="s">
        <v>728</v>
      </c>
      <c r="D38" s="75">
        <v>400000</v>
      </c>
      <c r="E38" s="75">
        <v>400000</v>
      </c>
      <c r="F38" s="75"/>
      <c r="G38" s="75"/>
      <c r="H38" s="75"/>
      <c r="I38" s="75"/>
      <c r="J38" s="75"/>
      <c r="K38" s="75"/>
      <c r="L38" s="87"/>
      <c r="M38" s="75"/>
      <c r="N38" s="75"/>
    </row>
    <row r="39" ht="21" customHeight="1" spans="1:14">
      <c r="A39" s="76" t="s">
        <v>266</v>
      </c>
      <c r="B39" s="74" t="s">
        <v>737</v>
      </c>
      <c r="C39" s="74" t="s">
        <v>728</v>
      </c>
      <c r="D39" s="75">
        <v>3000000</v>
      </c>
      <c r="E39" s="75">
        <v>3000000</v>
      </c>
      <c r="F39" s="75"/>
      <c r="G39" s="75"/>
      <c r="H39" s="75"/>
      <c r="I39" s="75"/>
      <c r="J39" s="75"/>
      <c r="K39" s="75"/>
      <c r="L39" s="87"/>
      <c r="M39" s="75"/>
      <c r="N39" s="75"/>
    </row>
    <row r="40" ht="21" customHeight="1" spans="1:14">
      <c r="A40" s="76" t="s">
        <v>266</v>
      </c>
      <c r="B40" s="74" t="s">
        <v>642</v>
      </c>
      <c r="C40" s="74" t="s">
        <v>738</v>
      </c>
      <c r="D40" s="75">
        <v>117000</v>
      </c>
      <c r="E40" s="75">
        <v>117000</v>
      </c>
      <c r="F40" s="75"/>
      <c r="G40" s="75"/>
      <c r="H40" s="75"/>
      <c r="I40" s="75"/>
      <c r="J40" s="75"/>
      <c r="K40" s="75"/>
      <c r="L40" s="87"/>
      <c r="M40" s="75"/>
      <c r="N40" s="75"/>
    </row>
    <row r="41" ht="21" customHeight="1" spans="1:14">
      <c r="A41" s="76" t="s">
        <v>266</v>
      </c>
      <c r="B41" s="74" t="s">
        <v>687</v>
      </c>
      <c r="C41" s="74" t="s">
        <v>739</v>
      </c>
      <c r="D41" s="75">
        <v>1780000</v>
      </c>
      <c r="E41" s="75">
        <v>1780000</v>
      </c>
      <c r="F41" s="75"/>
      <c r="G41" s="75"/>
      <c r="H41" s="75"/>
      <c r="I41" s="75"/>
      <c r="J41" s="75"/>
      <c r="K41" s="75"/>
      <c r="L41" s="87"/>
      <c r="M41" s="75"/>
      <c r="N41" s="75"/>
    </row>
    <row r="42" ht="21" customHeight="1" spans="1:14">
      <c r="A42" s="76" t="s">
        <v>266</v>
      </c>
      <c r="B42" s="74" t="s">
        <v>679</v>
      </c>
      <c r="C42" s="74" t="s">
        <v>739</v>
      </c>
      <c r="D42" s="75">
        <v>4000000</v>
      </c>
      <c r="E42" s="75">
        <v>4000000</v>
      </c>
      <c r="F42" s="75"/>
      <c r="G42" s="75"/>
      <c r="H42" s="75"/>
      <c r="I42" s="75"/>
      <c r="J42" s="75"/>
      <c r="K42" s="75"/>
      <c r="L42" s="87"/>
      <c r="M42" s="75"/>
      <c r="N42" s="75"/>
    </row>
    <row r="43" ht="21" customHeight="1" spans="1:14">
      <c r="A43" s="76" t="s">
        <v>266</v>
      </c>
      <c r="B43" s="74" t="s">
        <v>667</v>
      </c>
      <c r="C43" s="74" t="s">
        <v>739</v>
      </c>
      <c r="D43" s="75">
        <v>450000</v>
      </c>
      <c r="E43" s="75">
        <v>450000</v>
      </c>
      <c r="F43" s="75"/>
      <c r="G43" s="75"/>
      <c r="H43" s="75"/>
      <c r="I43" s="75"/>
      <c r="J43" s="75"/>
      <c r="K43" s="75"/>
      <c r="L43" s="87"/>
      <c r="M43" s="75"/>
      <c r="N43" s="75"/>
    </row>
    <row r="44" ht="21" customHeight="1" spans="1:14">
      <c r="A44" s="76" t="s">
        <v>266</v>
      </c>
      <c r="B44" s="74" t="s">
        <v>646</v>
      </c>
      <c r="C44" s="74" t="s">
        <v>739</v>
      </c>
      <c r="D44" s="75">
        <v>8000000</v>
      </c>
      <c r="E44" s="75">
        <v>8000000</v>
      </c>
      <c r="F44" s="75"/>
      <c r="G44" s="75"/>
      <c r="H44" s="75"/>
      <c r="I44" s="75"/>
      <c r="J44" s="75"/>
      <c r="K44" s="75"/>
      <c r="L44" s="87"/>
      <c r="M44" s="75"/>
      <c r="N44" s="75"/>
    </row>
    <row r="45" ht="21" customHeight="1" spans="1:14">
      <c r="A45" s="76" t="s">
        <v>266</v>
      </c>
      <c r="B45" s="74" t="s">
        <v>647</v>
      </c>
      <c r="C45" s="74" t="s">
        <v>739</v>
      </c>
      <c r="D45" s="75">
        <v>7000000</v>
      </c>
      <c r="E45" s="75">
        <v>7000000</v>
      </c>
      <c r="F45" s="75"/>
      <c r="G45" s="75"/>
      <c r="H45" s="75"/>
      <c r="I45" s="75"/>
      <c r="J45" s="75"/>
      <c r="K45" s="75"/>
      <c r="L45" s="87"/>
      <c r="M45" s="75"/>
      <c r="N45" s="75"/>
    </row>
    <row r="46" ht="21" customHeight="1" spans="1:14">
      <c r="A46" s="76" t="s">
        <v>266</v>
      </c>
      <c r="B46" s="74" t="s">
        <v>740</v>
      </c>
      <c r="C46" s="74" t="s">
        <v>739</v>
      </c>
      <c r="D46" s="75">
        <v>8200000</v>
      </c>
      <c r="E46" s="75">
        <v>8200000</v>
      </c>
      <c r="F46" s="75"/>
      <c r="G46" s="75"/>
      <c r="H46" s="75"/>
      <c r="I46" s="75"/>
      <c r="J46" s="75"/>
      <c r="K46" s="75"/>
      <c r="L46" s="87"/>
      <c r="M46" s="75"/>
      <c r="N46" s="75"/>
    </row>
    <row r="47" ht="21" customHeight="1" spans="1:14">
      <c r="A47" s="76" t="s">
        <v>266</v>
      </c>
      <c r="B47" s="74" t="s">
        <v>694</v>
      </c>
      <c r="C47" s="74" t="s">
        <v>741</v>
      </c>
      <c r="D47" s="75">
        <v>600000</v>
      </c>
      <c r="E47" s="75">
        <v>600000</v>
      </c>
      <c r="F47" s="75"/>
      <c r="G47" s="75"/>
      <c r="H47" s="75"/>
      <c r="I47" s="75"/>
      <c r="J47" s="75"/>
      <c r="K47" s="75"/>
      <c r="L47" s="87"/>
      <c r="M47" s="75"/>
      <c r="N47" s="75"/>
    </row>
    <row r="48" ht="21" customHeight="1" spans="1:14">
      <c r="A48" s="76" t="s">
        <v>266</v>
      </c>
      <c r="B48" s="74" t="s">
        <v>742</v>
      </c>
      <c r="C48" s="74" t="s">
        <v>743</v>
      </c>
      <c r="D48" s="75">
        <v>1487000</v>
      </c>
      <c r="E48" s="75">
        <v>1487000</v>
      </c>
      <c r="F48" s="75"/>
      <c r="G48" s="75"/>
      <c r="H48" s="75"/>
      <c r="I48" s="75"/>
      <c r="J48" s="75"/>
      <c r="K48" s="75"/>
      <c r="L48" s="87"/>
      <c r="M48" s="75"/>
      <c r="N48" s="75"/>
    </row>
    <row r="49" ht="21" customHeight="1" spans="1:14">
      <c r="A49" s="76" t="s">
        <v>266</v>
      </c>
      <c r="B49" s="74" t="s">
        <v>676</v>
      </c>
      <c r="C49" s="74" t="s">
        <v>743</v>
      </c>
      <c r="D49" s="75">
        <v>1409400</v>
      </c>
      <c r="E49" s="75">
        <v>1409400</v>
      </c>
      <c r="F49" s="75"/>
      <c r="G49" s="75"/>
      <c r="H49" s="75"/>
      <c r="I49" s="75"/>
      <c r="J49" s="75"/>
      <c r="K49" s="75"/>
      <c r="L49" s="87"/>
      <c r="M49" s="75"/>
      <c r="N49" s="75"/>
    </row>
    <row r="50" ht="21" customHeight="1" spans="1:14">
      <c r="A50" s="76" t="s">
        <v>266</v>
      </c>
      <c r="B50" s="74" t="s">
        <v>744</v>
      </c>
      <c r="C50" s="74" t="s">
        <v>743</v>
      </c>
      <c r="D50" s="75">
        <v>450000</v>
      </c>
      <c r="E50" s="75">
        <v>450000</v>
      </c>
      <c r="F50" s="75"/>
      <c r="G50" s="75"/>
      <c r="H50" s="75"/>
      <c r="I50" s="75"/>
      <c r="J50" s="75"/>
      <c r="K50" s="75"/>
      <c r="L50" s="87"/>
      <c r="M50" s="75"/>
      <c r="N50" s="75"/>
    </row>
    <row r="51" ht="21" customHeight="1" spans="1:14">
      <c r="A51" s="76" t="s">
        <v>266</v>
      </c>
      <c r="B51" s="74" t="s">
        <v>673</v>
      </c>
      <c r="C51" s="74" t="s">
        <v>743</v>
      </c>
      <c r="D51" s="75">
        <v>3000000</v>
      </c>
      <c r="E51" s="75">
        <v>3000000</v>
      </c>
      <c r="F51" s="75"/>
      <c r="G51" s="75"/>
      <c r="H51" s="75"/>
      <c r="I51" s="75"/>
      <c r="J51" s="75"/>
      <c r="K51" s="75"/>
      <c r="L51" s="87"/>
      <c r="M51" s="75"/>
      <c r="N51" s="75"/>
    </row>
    <row r="52" ht="21" customHeight="1" spans="1:14">
      <c r="A52" s="76" t="s">
        <v>266</v>
      </c>
      <c r="B52" s="74" t="s">
        <v>745</v>
      </c>
      <c r="C52" s="74" t="s">
        <v>743</v>
      </c>
      <c r="D52" s="75">
        <v>200000</v>
      </c>
      <c r="E52" s="75">
        <v>200000</v>
      </c>
      <c r="F52" s="75"/>
      <c r="G52" s="75"/>
      <c r="H52" s="75"/>
      <c r="I52" s="75"/>
      <c r="J52" s="75"/>
      <c r="K52" s="75"/>
      <c r="L52" s="87"/>
      <c r="M52" s="75"/>
      <c r="N52" s="75"/>
    </row>
    <row r="53" ht="21" customHeight="1" spans="1:14">
      <c r="A53" s="76" t="s">
        <v>266</v>
      </c>
      <c r="B53" s="74" t="s">
        <v>696</v>
      </c>
      <c r="C53" s="74" t="s">
        <v>746</v>
      </c>
      <c r="D53" s="75">
        <v>400000</v>
      </c>
      <c r="E53" s="75">
        <v>400000</v>
      </c>
      <c r="F53" s="75"/>
      <c r="G53" s="75"/>
      <c r="H53" s="75"/>
      <c r="I53" s="75"/>
      <c r="J53" s="75"/>
      <c r="K53" s="75"/>
      <c r="L53" s="87"/>
      <c r="M53" s="75"/>
      <c r="N53" s="75"/>
    </row>
    <row r="54" ht="21" customHeight="1" spans="1:14">
      <c r="A54" s="76" t="s">
        <v>266</v>
      </c>
      <c r="B54" s="74" t="s">
        <v>698</v>
      </c>
      <c r="C54" s="74" t="s">
        <v>746</v>
      </c>
      <c r="D54" s="75">
        <v>500000</v>
      </c>
      <c r="E54" s="75">
        <v>500000</v>
      </c>
      <c r="F54" s="75"/>
      <c r="G54" s="75"/>
      <c r="H54" s="75"/>
      <c r="I54" s="75"/>
      <c r="J54" s="75"/>
      <c r="K54" s="75"/>
      <c r="L54" s="87"/>
      <c r="M54" s="75"/>
      <c r="N54" s="75"/>
    </row>
    <row r="55" ht="21" customHeight="1" spans="1:14">
      <c r="A55" s="76" t="s">
        <v>266</v>
      </c>
      <c r="B55" s="74" t="s">
        <v>747</v>
      </c>
      <c r="C55" s="74" t="s">
        <v>746</v>
      </c>
      <c r="D55" s="75">
        <v>1800000</v>
      </c>
      <c r="E55" s="75">
        <v>1800000</v>
      </c>
      <c r="F55" s="75"/>
      <c r="G55" s="75"/>
      <c r="H55" s="75"/>
      <c r="I55" s="75"/>
      <c r="J55" s="75"/>
      <c r="K55" s="75"/>
      <c r="L55" s="87"/>
      <c r="M55" s="75"/>
      <c r="N55" s="75"/>
    </row>
    <row r="56" ht="21" customHeight="1" spans="1:14">
      <c r="A56" s="76" t="s">
        <v>266</v>
      </c>
      <c r="B56" s="74" t="s">
        <v>748</v>
      </c>
      <c r="C56" s="74" t="s">
        <v>749</v>
      </c>
      <c r="D56" s="75">
        <v>930000</v>
      </c>
      <c r="E56" s="75">
        <v>930000</v>
      </c>
      <c r="F56" s="75"/>
      <c r="G56" s="75"/>
      <c r="H56" s="75"/>
      <c r="I56" s="75"/>
      <c r="J56" s="75"/>
      <c r="K56" s="75"/>
      <c r="L56" s="87"/>
      <c r="M56" s="75"/>
      <c r="N56" s="75"/>
    </row>
    <row r="57" ht="21" customHeight="1" spans="1:14">
      <c r="A57" s="76" t="s">
        <v>266</v>
      </c>
      <c r="B57" s="74" t="s">
        <v>700</v>
      </c>
      <c r="C57" s="74" t="s">
        <v>749</v>
      </c>
      <c r="D57" s="75">
        <v>1900000</v>
      </c>
      <c r="E57" s="75">
        <v>1900000</v>
      </c>
      <c r="F57" s="75"/>
      <c r="G57" s="75"/>
      <c r="H57" s="75"/>
      <c r="I57" s="75"/>
      <c r="J57" s="75"/>
      <c r="K57" s="75"/>
      <c r="L57" s="87"/>
      <c r="M57" s="75"/>
      <c r="N57" s="75"/>
    </row>
    <row r="58" ht="21" customHeight="1" spans="1:14">
      <c r="A58" s="76" t="s">
        <v>266</v>
      </c>
      <c r="B58" s="74" t="s">
        <v>750</v>
      </c>
      <c r="C58" s="74" t="s">
        <v>749</v>
      </c>
      <c r="D58" s="75">
        <v>900000</v>
      </c>
      <c r="E58" s="75">
        <v>900000</v>
      </c>
      <c r="F58" s="75"/>
      <c r="G58" s="75"/>
      <c r="H58" s="75"/>
      <c r="I58" s="75"/>
      <c r="J58" s="75"/>
      <c r="K58" s="75"/>
      <c r="L58" s="87"/>
      <c r="M58" s="75"/>
      <c r="N58" s="75"/>
    </row>
    <row r="59" ht="21" customHeight="1" spans="1:14">
      <c r="A59" s="76" t="s">
        <v>266</v>
      </c>
      <c r="B59" s="74" t="s">
        <v>751</v>
      </c>
      <c r="C59" s="74" t="s">
        <v>749</v>
      </c>
      <c r="D59" s="75">
        <v>990000</v>
      </c>
      <c r="E59" s="75">
        <v>990000</v>
      </c>
      <c r="F59" s="75"/>
      <c r="G59" s="75"/>
      <c r="H59" s="75"/>
      <c r="I59" s="75"/>
      <c r="J59" s="75"/>
      <c r="K59" s="75"/>
      <c r="L59" s="87"/>
      <c r="M59" s="75"/>
      <c r="N59" s="75"/>
    </row>
    <row r="60" ht="21" customHeight="1" spans="1:14">
      <c r="A60" s="76" t="s">
        <v>266</v>
      </c>
      <c r="B60" s="74" t="s">
        <v>662</v>
      </c>
      <c r="C60" s="74" t="s">
        <v>725</v>
      </c>
      <c r="D60" s="75">
        <v>1000000</v>
      </c>
      <c r="E60" s="75">
        <v>1000000</v>
      </c>
      <c r="F60" s="75"/>
      <c r="G60" s="75"/>
      <c r="H60" s="75"/>
      <c r="I60" s="75"/>
      <c r="J60" s="75"/>
      <c r="K60" s="75"/>
      <c r="L60" s="87"/>
      <c r="M60" s="75"/>
      <c r="N60" s="75"/>
    </row>
    <row r="61" ht="21" customHeight="1" spans="1:14">
      <c r="A61" s="76" t="s">
        <v>266</v>
      </c>
      <c r="B61" s="74" t="s">
        <v>752</v>
      </c>
      <c r="C61" s="74" t="s">
        <v>753</v>
      </c>
      <c r="D61" s="75">
        <v>350000</v>
      </c>
      <c r="E61" s="75">
        <v>350000</v>
      </c>
      <c r="F61" s="75"/>
      <c r="G61" s="75"/>
      <c r="H61" s="75"/>
      <c r="I61" s="75"/>
      <c r="J61" s="75"/>
      <c r="K61" s="75"/>
      <c r="L61" s="87"/>
      <c r="M61" s="75"/>
      <c r="N61" s="75"/>
    </row>
    <row r="62" ht="21" customHeight="1" spans="1:14">
      <c r="A62" s="76" t="s">
        <v>266</v>
      </c>
      <c r="B62" s="74" t="s">
        <v>754</v>
      </c>
      <c r="C62" s="74" t="s">
        <v>753</v>
      </c>
      <c r="D62" s="75">
        <v>400000</v>
      </c>
      <c r="E62" s="75">
        <v>400000</v>
      </c>
      <c r="F62" s="75"/>
      <c r="G62" s="75"/>
      <c r="H62" s="75"/>
      <c r="I62" s="75"/>
      <c r="J62" s="75"/>
      <c r="K62" s="75"/>
      <c r="L62" s="87"/>
      <c r="M62" s="75"/>
      <c r="N62" s="75"/>
    </row>
    <row r="63" ht="21" customHeight="1" spans="1:14">
      <c r="A63" s="76" t="s">
        <v>266</v>
      </c>
      <c r="B63" s="74" t="s">
        <v>755</v>
      </c>
      <c r="C63" s="74" t="s">
        <v>756</v>
      </c>
      <c r="D63" s="75">
        <v>5943800</v>
      </c>
      <c r="E63" s="75">
        <v>5943800</v>
      </c>
      <c r="F63" s="75"/>
      <c r="G63" s="75"/>
      <c r="H63" s="75"/>
      <c r="I63" s="75"/>
      <c r="J63" s="75"/>
      <c r="K63" s="75"/>
      <c r="L63" s="87"/>
      <c r="M63" s="75"/>
      <c r="N63" s="75"/>
    </row>
    <row r="64" ht="21" customHeight="1" spans="1:14">
      <c r="A64" s="76" t="s">
        <v>266</v>
      </c>
      <c r="B64" s="74" t="s">
        <v>669</v>
      </c>
      <c r="C64" s="74" t="s">
        <v>756</v>
      </c>
      <c r="D64" s="75">
        <v>500000</v>
      </c>
      <c r="E64" s="75">
        <v>500000</v>
      </c>
      <c r="F64" s="75"/>
      <c r="G64" s="75"/>
      <c r="H64" s="75"/>
      <c r="I64" s="75"/>
      <c r="J64" s="75"/>
      <c r="K64" s="75"/>
      <c r="L64" s="87"/>
      <c r="M64" s="75"/>
      <c r="N64" s="75"/>
    </row>
    <row r="65" ht="21" customHeight="1" spans="1:14">
      <c r="A65" s="76" t="s">
        <v>266</v>
      </c>
      <c r="B65" s="74" t="s">
        <v>689</v>
      </c>
      <c r="C65" s="74" t="s">
        <v>757</v>
      </c>
      <c r="D65" s="75">
        <v>280800</v>
      </c>
      <c r="E65" s="75">
        <v>280800</v>
      </c>
      <c r="F65" s="75"/>
      <c r="G65" s="75"/>
      <c r="H65" s="75"/>
      <c r="I65" s="75"/>
      <c r="J65" s="75"/>
      <c r="K65" s="75"/>
      <c r="L65" s="87"/>
      <c r="M65" s="75"/>
      <c r="N65" s="75"/>
    </row>
    <row r="66" ht="21" customHeight="1" spans="1:14">
      <c r="A66" s="76" t="s">
        <v>266</v>
      </c>
      <c r="B66" s="74" t="s">
        <v>685</v>
      </c>
      <c r="C66" s="74" t="s">
        <v>757</v>
      </c>
      <c r="D66" s="75">
        <v>500000</v>
      </c>
      <c r="E66" s="75">
        <v>500000</v>
      </c>
      <c r="F66" s="75"/>
      <c r="G66" s="75"/>
      <c r="H66" s="75"/>
      <c r="I66" s="75"/>
      <c r="J66" s="75"/>
      <c r="K66" s="75"/>
      <c r="L66" s="87"/>
      <c r="M66" s="75"/>
      <c r="N66" s="75"/>
    </row>
    <row r="67" ht="21" customHeight="1" spans="1:14">
      <c r="A67" s="76" t="s">
        <v>266</v>
      </c>
      <c r="B67" s="74" t="s">
        <v>644</v>
      </c>
      <c r="C67" s="74" t="s">
        <v>758</v>
      </c>
      <c r="D67" s="75">
        <v>27950000</v>
      </c>
      <c r="E67" s="75">
        <v>27950000</v>
      </c>
      <c r="F67" s="75"/>
      <c r="G67" s="75"/>
      <c r="H67" s="75"/>
      <c r="I67" s="75"/>
      <c r="J67" s="75"/>
      <c r="K67" s="75"/>
      <c r="L67" s="87"/>
      <c r="M67" s="75"/>
      <c r="N67" s="75"/>
    </row>
    <row r="68" ht="21" customHeight="1" spans="1:14">
      <c r="A68" s="76" t="s">
        <v>266</v>
      </c>
      <c r="B68" s="74" t="s">
        <v>759</v>
      </c>
      <c r="C68" s="74" t="s">
        <v>760</v>
      </c>
      <c r="D68" s="75">
        <v>2700000</v>
      </c>
      <c r="E68" s="75">
        <v>2700000</v>
      </c>
      <c r="F68" s="75"/>
      <c r="G68" s="75"/>
      <c r="H68" s="75"/>
      <c r="I68" s="75"/>
      <c r="J68" s="75"/>
      <c r="K68" s="75"/>
      <c r="L68" s="87"/>
      <c r="M68" s="75"/>
      <c r="N68" s="75"/>
    </row>
    <row r="69" ht="21" customHeight="1" spans="1:14">
      <c r="A69" s="76" t="s">
        <v>266</v>
      </c>
      <c r="B69" s="74" t="s">
        <v>658</v>
      </c>
      <c r="C69" s="74" t="s">
        <v>760</v>
      </c>
      <c r="D69" s="75">
        <v>3000000</v>
      </c>
      <c r="E69" s="75">
        <v>3000000</v>
      </c>
      <c r="F69" s="75"/>
      <c r="G69" s="75"/>
      <c r="H69" s="75"/>
      <c r="I69" s="75"/>
      <c r="J69" s="75"/>
      <c r="K69" s="75"/>
      <c r="L69" s="87"/>
      <c r="M69" s="75"/>
      <c r="N69" s="75"/>
    </row>
    <row r="70" ht="21" customHeight="1" spans="1:14">
      <c r="A70" s="76" t="s">
        <v>266</v>
      </c>
      <c r="B70" s="74" t="s">
        <v>649</v>
      </c>
      <c r="C70" s="74" t="s">
        <v>761</v>
      </c>
      <c r="D70" s="75">
        <v>500000</v>
      </c>
      <c r="E70" s="75">
        <v>500000</v>
      </c>
      <c r="F70" s="75"/>
      <c r="G70" s="75"/>
      <c r="H70" s="75"/>
      <c r="I70" s="75"/>
      <c r="J70" s="75"/>
      <c r="K70" s="75"/>
      <c r="L70" s="87"/>
      <c r="M70" s="75"/>
      <c r="N70" s="75"/>
    </row>
    <row r="71" ht="21" customHeight="1" spans="1:14">
      <c r="A71" s="76" t="s">
        <v>266</v>
      </c>
      <c r="B71" s="74" t="s">
        <v>703</v>
      </c>
      <c r="C71" s="74" t="s">
        <v>732</v>
      </c>
      <c r="D71" s="75">
        <v>280000</v>
      </c>
      <c r="E71" s="75">
        <v>280000</v>
      </c>
      <c r="F71" s="75"/>
      <c r="G71" s="75"/>
      <c r="H71" s="75"/>
      <c r="I71" s="75"/>
      <c r="J71" s="75"/>
      <c r="K71" s="75"/>
      <c r="L71" s="87"/>
      <c r="M71" s="75"/>
      <c r="N71" s="75"/>
    </row>
    <row r="72" ht="21" customHeight="1" spans="1:14">
      <c r="A72" s="76" t="s">
        <v>276</v>
      </c>
      <c r="B72" s="74" t="s">
        <v>708</v>
      </c>
      <c r="C72" s="74" t="s">
        <v>762</v>
      </c>
      <c r="D72" s="75">
        <v>3500000</v>
      </c>
      <c r="E72" s="75">
        <v>3500000</v>
      </c>
      <c r="F72" s="75"/>
      <c r="G72" s="75"/>
      <c r="H72" s="75"/>
      <c r="I72" s="75"/>
      <c r="J72" s="75"/>
      <c r="K72" s="75"/>
      <c r="L72" s="87"/>
      <c r="M72" s="75"/>
      <c r="N72" s="75"/>
    </row>
    <row r="73" ht="21" customHeight="1" spans="1:14">
      <c r="A73" s="76" t="s">
        <v>276</v>
      </c>
      <c r="B73" s="74" t="s">
        <v>704</v>
      </c>
      <c r="C73" s="74" t="s">
        <v>763</v>
      </c>
      <c r="D73" s="75">
        <v>550000</v>
      </c>
      <c r="E73" s="75">
        <v>550000</v>
      </c>
      <c r="F73" s="75"/>
      <c r="G73" s="75"/>
      <c r="H73" s="75"/>
      <c r="I73" s="75"/>
      <c r="J73" s="75"/>
      <c r="K73" s="75"/>
      <c r="L73" s="87"/>
      <c r="M73" s="75"/>
      <c r="N73" s="75"/>
    </row>
    <row r="74" ht="21" customHeight="1" spans="1:14">
      <c r="A74" s="76" t="s">
        <v>276</v>
      </c>
      <c r="B74" s="74" t="s">
        <v>706</v>
      </c>
      <c r="C74" s="74" t="s">
        <v>764</v>
      </c>
      <c r="D74" s="75">
        <v>400000</v>
      </c>
      <c r="E74" s="75">
        <v>400000</v>
      </c>
      <c r="F74" s="75"/>
      <c r="G74" s="75"/>
      <c r="H74" s="75"/>
      <c r="I74" s="75"/>
      <c r="J74" s="75"/>
      <c r="K74" s="75"/>
      <c r="L74" s="87"/>
      <c r="M74" s="75"/>
      <c r="N74" s="75"/>
    </row>
    <row r="75" ht="21" customHeight="1" spans="1:14">
      <c r="A75" s="76" t="s">
        <v>285</v>
      </c>
      <c r="B75" s="74" t="s">
        <v>710</v>
      </c>
      <c r="C75" s="74" t="s">
        <v>765</v>
      </c>
      <c r="D75" s="75">
        <v>78000</v>
      </c>
      <c r="E75" s="75">
        <v>78000</v>
      </c>
      <c r="F75" s="75"/>
      <c r="G75" s="75"/>
      <c r="H75" s="75"/>
      <c r="I75" s="75"/>
      <c r="J75" s="75"/>
      <c r="K75" s="75"/>
      <c r="L75" s="87"/>
      <c r="M75" s="75"/>
      <c r="N75" s="75"/>
    </row>
    <row r="76" ht="21" customHeight="1" spans="1:14">
      <c r="A76" s="76" t="s">
        <v>285</v>
      </c>
      <c r="B76" s="74" t="s">
        <v>711</v>
      </c>
      <c r="C76" s="74" t="s">
        <v>766</v>
      </c>
      <c r="D76" s="75">
        <v>9155400</v>
      </c>
      <c r="E76" s="75">
        <v>9155400</v>
      </c>
      <c r="F76" s="75"/>
      <c r="G76" s="75"/>
      <c r="H76" s="75"/>
      <c r="I76" s="75"/>
      <c r="J76" s="75"/>
      <c r="K76" s="75"/>
      <c r="L76" s="87"/>
      <c r="M76" s="75"/>
      <c r="N76" s="75"/>
    </row>
    <row r="77" ht="21" customHeight="1" spans="1:14">
      <c r="A77" s="76" t="s">
        <v>285</v>
      </c>
      <c r="B77" s="74" t="s">
        <v>712</v>
      </c>
      <c r="C77" s="74" t="s">
        <v>766</v>
      </c>
      <c r="D77" s="75">
        <v>296500</v>
      </c>
      <c r="E77" s="75">
        <v>296500</v>
      </c>
      <c r="F77" s="75"/>
      <c r="G77" s="75"/>
      <c r="H77" s="75"/>
      <c r="I77" s="75"/>
      <c r="J77" s="75"/>
      <c r="K77" s="75"/>
      <c r="L77" s="87"/>
      <c r="M77" s="75"/>
      <c r="N77" s="75"/>
    </row>
    <row r="78" ht="21" customHeight="1" spans="1:14">
      <c r="A78" s="88" t="s">
        <v>119</v>
      </c>
      <c r="B78" s="89"/>
      <c r="C78" s="90"/>
      <c r="D78" s="75">
        <v>129219500</v>
      </c>
      <c r="E78" s="75">
        <v>129219500</v>
      </c>
      <c r="F78" s="75"/>
      <c r="G78" s="75"/>
      <c r="H78" s="75"/>
      <c r="I78" s="75"/>
      <c r="J78" s="75"/>
      <c r="K78" s="75"/>
      <c r="L78" s="87"/>
      <c r="M78" s="75"/>
      <c r="N78" s="75"/>
    </row>
  </sheetData>
  <mergeCells count="13">
    <mergeCell ref="A2:N2"/>
    <mergeCell ref="A3:C3"/>
    <mergeCell ref="D4:N4"/>
    <mergeCell ref="I5:N5"/>
    <mergeCell ref="A78:C78"/>
    <mergeCell ref="A4:A6"/>
    <mergeCell ref="B4:B6"/>
    <mergeCell ref="C4:C6"/>
    <mergeCell ref="D5:D6"/>
    <mergeCell ref="E5:E6"/>
    <mergeCell ref="F5:F6"/>
    <mergeCell ref="G5:G6"/>
    <mergeCell ref="H5:H6"/>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W13"/>
  <sheetViews>
    <sheetView showZeros="0" workbookViewId="0">
      <selection activeCell="A1" sqref="A1"/>
    </sheetView>
  </sheetViews>
  <sheetFormatPr defaultColWidth="9.13888888888889" defaultRowHeight="14.25" customHeight="1"/>
  <cols>
    <col min="1" max="1" width="42.0277777777778" customWidth="1"/>
    <col min="2" max="15" width="17.1759259259259" customWidth="1"/>
    <col min="16" max="23" width="17.0277777777778" customWidth="1"/>
  </cols>
  <sheetData>
    <row r="1" ht="13.5" customHeight="1" spans="4:23">
      <c r="D1" s="53"/>
      <c r="W1" s="52" t="s">
        <v>767</v>
      </c>
    </row>
    <row r="2" ht="27.75" customHeight="1" spans="1:23">
      <c r="A2" s="54" t="s">
        <v>768</v>
      </c>
      <c r="B2" s="27"/>
      <c r="C2" s="27"/>
      <c r="D2" s="27"/>
      <c r="E2" s="27"/>
      <c r="F2" s="27"/>
      <c r="G2" s="27"/>
      <c r="H2" s="27"/>
      <c r="I2" s="27"/>
      <c r="J2" s="27"/>
      <c r="K2" s="27"/>
      <c r="L2" s="27"/>
      <c r="M2" s="27"/>
      <c r="N2" s="27"/>
      <c r="O2" s="27"/>
      <c r="P2" s="27"/>
      <c r="Q2" s="27"/>
      <c r="R2" s="27"/>
      <c r="S2" s="27"/>
      <c r="T2" s="27"/>
      <c r="U2" s="27"/>
      <c r="V2" s="27"/>
      <c r="W2" s="27"/>
    </row>
    <row r="3" ht="18" customHeight="1" spans="1:23">
      <c r="A3" s="55" t="str">
        <f>"单位名称："&amp;"云南省文化和旅游厅"</f>
        <v>单位名称：云南省文化和旅游厅</v>
      </c>
      <c r="B3" s="56"/>
      <c r="C3" s="56"/>
      <c r="D3" s="57"/>
      <c r="E3" s="58"/>
      <c r="F3" s="58"/>
      <c r="G3" s="58"/>
      <c r="H3" s="58"/>
      <c r="I3" s="58"/>
      <c r="W3" s="62" t="s">
        <v>144</v>
      </c>
    </row>
    <row r="4" ht="19.5" customHeight="1" spans="1:23">
      <c r="A4" s="15" t="s">
        <v>769</v>
      </c>
      <c r="B4" s="10" t="s">
        <v>160</v>
      </c>
      <c r="C4" s="11"/>
      <c r="D4" s="11"/>
      <c r="E4" s="10" t="s">
        <v>770</v>
      </c>
      <c r="F4" s="11"/>
      <c r="G4" s="11"/>
      <c r="H4" s="11"/>
      <c r="I4" s="11"/>
      <c r="J4" s="11"/>
      <c r="K4" s="11"/>
      <c r="L4" s="11"/>
      <c r="M4" s="11"/>
      <c r="N4" s="11"/>
      <c r="O4" s="11"/>
      <c r="P4" s="11"/>
      <c r="Q4" s="11"/>
      <c r="R4" s="11"/>
      <c r="S4" s="11"/>
      <c r="T4" s="11"/>
      <c r="U4" s="11"/>
      <c r="V4" s="11"/>
      <c r="W4" s="11"/>
    </row>
    <row r="5" ht="40.5" customHeight="1" spans="1:23">
      <c r="A5" s="18"/>
      <c r="B5" s="28" t="s">
        <v>31</v>
      </c>
      <c r="C5" s="9" t="s">
        <v>34</v>
      </c>
      <c r="D5" s="59" t="s">
        <v>771</v>
      </c>
      <c r="E5" s="60" t="s">
        <v>772</v>
      </c>
      <c r="F5" s="60" t="s">
        <v>773</v>
      </c>
      <c r="G5" s="60" t="s">
        <v>774</v>
      </c>
      <c r="H5" s="60" t="s">
        <v>775</v>
      </c>
      <c r="I5" s="60" t="s">
        <v>776</v>
      </c>
      <c r="J5" s="60" t="s">
        <v>777</v>
      </c>
      <c r="K5" s="60" t="s">
        <v>778</v>
      </c>
      <c r="L5" s="60" t="s">
        <v>779</v>
      </c>
      <c r="M5" s="60" t="s">
        <v>780</v>
      </c>
      <c r="N5" s="60" t="s">
        <v>781</v>
      </c>
      <c r="O5" s="60" t="s">
        <v>782</v>
      </c>
      <c r="P5" s="60" t="s">
        <v>783</v>
      </c>
      <c r="Q5" s="60" t="s">
        <v>784</v>
      </c>
      <c r="R5" s="60" t="s">
        <v>785</v>
      </c>
      <c r="S5" s="60" t="s">
        <v>786</v>
      </c>
      <c r="T5" s="60" t="s">
        <v>787</v>
      </c>
      <c r="U5" s="60" t="s">
        <v>788</v>
      </c>
      <c r="V5" s="60" t="s">
        <v>789</v>
      </c>
      <c r="W5" s="60" t="s">
        <v>790</v>
      </c>
    </row>
    <row r="6" ht="19.5" customHeight="1" spans="1:23">
      <c r="A6" s="60">
        <v>1</v>
      </c>
      <c r="B6" s="60">
        <v>2</v>
      </c>
      <c r="C6" s="60">
        <v>3</v>
      </c>
      <c r="D6" s="10">
        <v>4</v>
      </c>
      <c r="E6" s="60">
        <v>5</v>
      </c>
      <c r="F6" s="60">
        <v>6</v>
      </c>
      <c r="G6" s="60">
        <v>7</v>
      </c>
      <c r="H6" s="10">
        <v>8</v>
      </c>
      <c r="I6" s="60">
        <v>9</v>
      </c>
      <c r="J6" s="60">
        <v>10</v>
      </c>
      <c r="K6" s="60">
        <v>11</v>
      </c>
      <c r="L6" s="10">
        <v>12</v>
      </c>
      <c r="M6" s="60">
        <v>13</v>
      </c>
      <c r="N6" s="60">
        <v>14</v>
      </c>
      <c r="O6" s="60">
        <v>15</v>
      </c>
      <c r="P6" s="10">
        <v>16</v>
      </c>
      <c r="Q6" s="60">
        <v>17</v>
      </c>
      <c r="R6" s="60">
        <v>18</v>
      </c>
      <c r="S6" s="60">
        <v>19</v>
      </c>
      <c r="T6" s="10">
        <v>20</v>
      </c>
      <c r="U6" s="10">
        <v>21</v>
      </c>
      <c r="V6" s="10">
        <v>22</v>
      </c>
      <c r="W6" s="60">
        <v>23</v>
      </c>
    </row>
    <row r="7" ht="28.4" customHeight="1" spans="1:23">
      <c r="A7" s="29" t="s">
        <v>46</v>
      </c>
      <c r="B7" s="22">
        <v>168112500</v>
      </c>
      <c r="C7" s="22">
        <v>168112500</v>
      </c>
      <c r="D7" s="22"/>
      <c r="E7" s="22">
        <v>18359400</v>
      </c>
      <c r="F7" s="22">
        <v>5199500</v>
      </c>
      <c r="G7" s="22">
        <v>13631700</v>
      </c>
      <c r="H7" s="22">
        <v>8535200</v>
      </c>
      <c r="I7" s="22">
        <v>15064900</v>
      </c>
      <c r="J7" s="22">
        <v>8614900</v>
      </c>
      <c r="K7" s="22">
        <v>11132700</v>
      </c>
      <c r="L7" s="22">
        <v>9539200</v>
      </c>
      <c r="M7" s="22">
        <v>14078000</v>
      </c>
      <c r="N7" s="22">
        <v>7474000</v>
      </c>
      <c r="O7" s="22">
        <v>12752900</v>
      </c>
      <c r="P7" s="22">
        <v>7513100</v>
      </c>
      <c r="Q7" s="22">
        <v>11893100</v>
      </c>
      <c r="R7" s="22">
        <v>7179000</v>
      </c>
      <c r="S7" s="22">
        <v>7374500</v>
      </c>
      <c r="T7" s="22">
        <v>8271900</v>
      </c>
      <c r="U7" s="22">
        <v>471500</v>
      </c>
      <c r="V7" s="22">
        <v>672000</v>
      </c>
      <c r="W7" s="22">
        <v>355000</v>
      </c>
    </row>
    <row r="8" ht="29.9" customHeight="1" spans="1:23">
      <c r="A8" s="61" t="s">
        <v>791</v>
      </c>
      <c r="B8" s="22">
        <v>21462500</v>
      </c>
      <c r="C8" s="22">
        <v>21462500</v>
      </c>
      <c r="D8" s="22"/>
      <c r="E8" s="22">
        <v>554000</v>
      </c>
      <c r="F8" s="22">
        <v>1861500</v>
      </c>
      <c r="G8" s="22">
        <v>1519000</v>
      </c>
      <c r="H8" s="22">
        <v>1169000</v>
      </c>
      <c r="I8" s="22">
        <v>1855000</v>
      </c>
      <c r="J8" s="22">
        <v>1606500</v>
      </c>
      <c r="K8" s="22">
        <v>1827500</v>
      </c>
      <c r="L8" s="22">
        <v>901000</v>
      </c>
      <c r="M8" s="22">
        <v>1421000</v>
      </c>
      <c r="N8" s="22">
        <v>1624000</v>
      </c>
      <c r="O8" s="22">
        <v>1062500</v>
      </c>
      <c r="P8" s="22">
        <v>1241000</v>
      </c>
      <c r="Q8" s="22">
        <v>1071000</v>
      </c>
      <c r="R8" s="22">
        <v>738000</v>
      </c>
      <c r="S8" s="22">
        <v>657000</v>
      </c>
      <c r="T8" s="22">
        <v>1462000</v>
      </c>
      <c r="U8" s="22">
        <v>314500</v>
      </c>
      <c r="V8" s="22">
        <v>255000</v>
      </c>
      <c r="W8" s="22">
        <v>323000</v>
      </c>
    </row>
    <row r="9" ht="29.9" customHeight="1" spans="1:23">
      <c r="A9" s="61" t="s">
        <v>792</v>
      </c>
      <c r="B9" s="22">
        <v>7450000</v>
      </c>
      <c r="C9" s="22">
        <v>7450000</v>
      </c>
      <c r="D9" s="22"/>
      <c r="E9" s="22">
        <v>340000</v>
      </c>
      <c r="F9" s="22">
        <v>510000</v>
      </c>
      <c r="G9" s="22">
        <v>420000</v>
      </c>
      <c r="H9" s="22">
        <v>630000</v>
      </c>
      <c r="I9" s="22">
        <v>560000</v>
      </c>
      <c r="J9" s="22">
        <v>510000</v>
      </c>
      <c r="K9" s="22">
        <v>425000</v>
      </c>
      <c r="L9" s="22">
        <v>340000</v>
      </c>
      <c r="M9" s="22">
        <v>560000</v>
      </c>
      <c r="N9" s="22">
        <v>560000</v>
      </c>
      <c r="O9" s="22">
        <v>510000</v>
      </c>
      <c r="P9" s="22">
        <v>425000</v>
      </c>
      <c r="Q9" s="22">
        <v>510000</v>
      </c>
      <c r="R9" s="22">
        <v>90000</v>
      </c>
      <c r="S9" s="22">
        <v>720000</v>
      </c>
      <c r="T9" s="22"/>
      <c r="U9" s="22">
        <v>85000</v>
      </c>
      <c r="V9" s="22">
        <v>255000</v>
      </c>
      <c r="W9" s="22"/>
    </row>
    <row r="10" ht="29.9" customHeight="1" spans="1:23">
      <c r="A10" s="61" t="s">
        <v>793</v>
      </c>
      <c r="B10" s="22">
        <v>5000000</v>
      </c>
      <c r="C10" s="22">
        <v>5000000</v>
      </c>
      <c r="D10" s="22"/>
      <c r="E10" s="22">
        <v>530000</v>
      </c>
      <c r="F10" s="22">
        <v>180000</v>
      </c>
      <c r="G10" s="22">
        <v>280000</v>
      </c>
      <c r="H10" s="22">
        <v>330000</v>
      </c>
      <c r="I10" s="22">
        <v>430000</v>
      </c>
      <c r="J10" s="22">
        <v>280000</v>
      </c>
      <c r="K10" s="22">
        <v>230000</v>
      </c>
      <c r="L10" s="22">
        <v>200000</v>
      </c>
      <c r="M10" s="22">
        <v>360000</v>
      </c>
      <c r="N10" s="22">
        <v>380000</v>
      </c>
      <c r="O10" s="22">
        <v>230000</v>
      </c>
      <c r="P10" s="22">
        <v>330000</v>
      </c>
      <c r="Q10" s="22">
        <v>250000</v>
      </c>
      <c r="R10" s="22">
        <v>230000</v>
      </c>
      <c r="S10" s="22">
        <v>280000</v>
      </c>
      <c r="T10" s="22">
        <v>430000</v>
      </c>
      <c r="U10" s="22"/>
      <c r="V10" s="22">
        <v>50000</v>
      </c>
      <c r="W10" s="22"/>
    </row>
    <row r="11" ht="29.9" customHeight="1" spans="1:23">
      <c r="A11" s="61" t="s">
        <v>794</v>
      </c>
      <c r="B11" s="22">
        <v>90000000</v>
      </c>
      <c r="C11" s="22">
        <v>90000000</v>
      </c>
      <c r="D11" s="22"/>
      <c r="E11" s="22">
        <v>12637400</v>
      </c>
      <c r="F11" s="22"/>
      <c r="G11" s="22">
        <v>8770700</v>
      </c>
      <c r="H11" s="22">
        <v>3694200</v>
      </c>
      <c r="I11" s="22">
        <v>7883900</v>
      </c>
      <c r="J11" s="22">
        <v>4230400</v>
      </c>
      <c r="K11" s="22">
        <v>6784200</v>
      </c>
      <c r="L11" s="22">
        <v>6316200</v>
      </c>
      <c r="M11" s="22">
        <v>7587000</v>
      </c>
      <c r="N11" s="22"/>
      <c r="O11" s="22">
        <v>8408400</v>
      </c>
      <c r="P11" s="22">
        <v>2941100</v>
      </c>
      <c r="Q11" s="22">
        <v>7996100</v>
      </c>
      <c r="R11" s="22">
        <v>4541000</v>
      </c>
      <c r="S11" s="22">
        <v>3533500</v>
      </c>
      <c r="T11" s="22">
        <v>4675900</v>
      </c>
      <c r="U11" s="22"/>
      <c r="V11" s="22"/>
      <c r="W11" s="22"/>
    </row>
    <row r="12" ht="29.9" customHeight="1" spans="1:23">
      <c r="A12" s="61" t="s">
        <v>795</v>
      </c>
      <c r="B12" s="22">
        <v>15000000</v>
      </c>
      <c r="C12" s="22">
        <v>15000000</v>
      </c>
      <c r="D12" s="22"/>
      <c r="E12" s="22">
        <v>1298000</v>
      </c>
      <c r="F12" s="22">
        <v>648000</v>
      </c>
      <c r="G12" s="22">
        <v>642000</v>
      </c>
      <c r="H12" s="22">
        <v>712000</v>
      </c>
      <c r="I12" s="22">
        <v>1136000</v>
      </c>
      <c r="J12" s="22">
        <v>988000</v>
      </c>
      <c r="K12" s="22">
        <v>866000</v>
      </c>
      <c r="L12" s="22">
        <v>782000</v>
      </c>
      <c r="M12" s="22">
        <v>1150000</v>
      </c>
      <c r="N12" s="22">
        <v>1910000</v>
      </c>
      <c r="O12" s="22">
        <v>542000</v>
      </c>
      <c r="P12" s="22">
        <v>576000</v>
      </c>
      <c r="Q12" s="22">
        <v>1066000</v>
      </c>
      <c r="R12" s="22">
        <v>580000</v>
      </c>
      <c r="S12" s="22">
        <v>1184000</v>
      </c>
      <c r="T12" s="22">
        <v>704000</v>
      </c>
      <c r="U12" s="22">
        <v>72000</v>
      </c>
      <c r="V12" s="22">
        <v>112000</v>
      </c>
      <c r="W12" s="22">
        <v>32000</v>
      </c>
    </row>
    <row r="13" ht="29.9" customHeight="1" spans="1:23">
      <c r="A13" s="61" t="s">
        <v>796</v>
      </c>
      <c r="B13" s="22">
        <v>29200000</v>
      </c>
      <c r="C13" s="22">
        <v>29200000</v>
      </c>
      <c r="D13" s="22"/>
      <c r="E13" s="22">
        <v>3000000</v>
      </c>
      <c r="F13" s="22">
        <v>2000000</v>
      </c>
      <c r="G13" s="22">
        <v>2000000</v>
      </c>
      <c r="H13" s="22">
        <v>2000000</v>
      </c>
      <c r="I13" s="22">
        <v>3200000</v>
      </c>
      <c r="J13" s="22">
        <v>1000000</v>
      </c>
      <c r="K13" s="22">
        <v>1000000</v>
      </c>
      <c r="L13" s="22">
        <v>1000000</v>
      </c>
      <c r="M13" s="22">
        <v>3000000</v>
      </c>
      <c r="N13" s="22">
        <v>3000000</v>
      </c>
      <c r="O13" s="22">
        <v>2000000</v>
      </c>
      <c r="P13" s="22">
        <v>2000000</v>
      </c>
      <c r="Q13" s="22">
        <v>1000000</v>
      </c>
      <c r="R13" s="22">
        <v>1000000</v>
      </c>
      <c r="S13" s="22">
        <v>1000000</v>
      </c>
      <c r="T13" s="22">
        <v>1000000</v>
      </c>
      <c r="U13" s="22"/>
      <c r="V13" s="22"/>
      <c r="W13" s="22"/>
    </row>
  </sheetData>
  <mergeCells count="5">
    <mergeCell ref="A2:W2"/>
    <mergeCell ref="A3:I3"/>
    <mergeCell ref="B4:D4"/>
    <mergeCell ref="E4:W4"/>
    <mergeCell ref="A4:A5"/>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J49"/>
  <sheetViews>
    <sheetView showZeros="0" workbookViewId="0">
      <selection activeCell="A1" sqref="A1 A1 A1 A1 A1 A1 A1 A1 A1 A1"/>
    </sheetView>
  </sheetViews>
  <sheetFormatPr defaultColWidth="9.13888888888889" defaultRowHeight="12" customHeight="1"/>
  <cols>
    <col min="1" max="1" width="34.2777777777778" customWidth="1"/>
    <col min="2" max="2" width="29" customWidth="1"/>
    <col min="3" max="3" width="16.3148148148148" customWidth="1"/>
    <col min="4" max="4" width="15.6018518518519" customWidth="1"/>
    <col min="5" max="5" width="23.5740740740741" customWidth="1"/>
    <col min="6" max="6" width="11.2777777777778" customWidth="1"/>
    <col min="7" max="7" width="14.8796296296296" customWidth="1"/>
    <col min="8" max="8" width="10.8796296296296" customWidth="1"/>
    <col min="9" max="9" width="13.4259259259259" customWidth="1"/>
    <col min="10" max="10" width="32.0277777777778" customWidth="1"/>
  </cols>
  <sheetData>
    <row r="1" customHeight="1" spans="10:10">
      <c r="J1" s="52" t="s">
        <v>797</v>
      </c>
    </row>
    <row r="2" ht="28.5" customHeight="1" spans="1:10">
      <c r="A2" s="42" t="s">
        <v>798</v>
      </c>
      <c r="B2" s="27"/>
      <c r="C2" s="27"/>
      <c r="D2" s="27"/>
      <c r="E2" s="27"/>
      <c r="F2" s="43"/>
      <c r="G2" s="27"/>
      <c r="H2" s="43"/>
      <c r="I2" s="43"/>
      <c r="J2" s="27"/>
    </row>
    <row r="3" ht="17.25" customHeight="1" spans="1:1">
      <c r="A3" s="4" t="str">
        <f>"单位名称："&amp;"云南省文化和旅游厅"</f>
        <v>单位名称：云南省文化和旅游厅</v>
      </c>
    </row>
    <row r="4" ht="44.25" customHeight="1" spans="1:10">
      <c r="A4" s="44" t="s">
        <v>290</v>
      </c>
      <c r="B4" s="44" t="s">
        <v>291</v>
      </c>
      <c r="C4" s="44" t="s">
        <v>292</v>
      </c>
      <c r="D4" s="44" t="s">
        <v>293</v>
      </c>
      <c r="E4" s="44" t="s">
        <v>294</v>
      </c>
      <c r="F4" s="45" t="s">
        <v>295</v>
      </c>
      <c r="G4" s="44" t="s">
        <v>296</v>
      </c>
      <c r="H4" s="45" t="s">
        <v>297</v>
      </c>
      <c r="I4" s="45" t="s">
        <v>298</v>
      </c>
      <c r="J4" s="44" t="s">
        <v>299</v>
      </c>
    </row>
    <row r="5" ht="14.25" customHeight="1" spans="1:10">
      <c r="A5" s="44">
        <v>1</v>
      </c>
      <c r="B5" s="44">
        <v>2</v>
      </c>
      <c r="C5" s="44">
        <v>3</v>
      </c>
      <c r="D5" s="44">
        <v>4</v>
      </c>
      <c r="E5" s="44">
        <v>5</v>
      </c>
      <c r="F5" s="45">
        <v>6</v>
      </c>
      <c r="G5" s="44">
        <v>7</v>
      </c>
      <c r="H5" s="45">
        <v>8</v>
      </c>
      <c r="I5" s="45">
        <v>9</v>
      </c>
      <c r="J5" s="44">
        <v>10</v>
      </c>
    </row>
    <row r="6" ht="42" customHeight="1" spans="1:10">
      <c r="A6" s="46" t="s">
        <v>46</v>
      </c>
      <c r="B6" s="47"/>
      <c r="C6" s="47"/>
      <c r="D6" s="47"/>
      <c r="E6" s="48"/>
      <c r="F6" s="49"/>
      <c r="G6" s="48"/>
      <c r="H6" s="49"/>
      <c r="I6" s="49"/>
      <c r="J6" s="48"/>
    </row>
    <row r="7" ht="42" customHeight="1" spans="1:10">
      <c r="A7" s="50" t="s">
        <v>794</v>
      </c>
      <c r="B7" s="51" t="s">
        <v>799</v>
      </c>
      <c r="C7" s="51" t="s">
        <v>301</v>
      </c>
      <c r="D7" s="51" t="s">
        <v>302</v>
      </c>
      <c r="E7" s="46" t="s">
        <v>800</v>
      </c>
      <c r="F7" s="51" t="s">
        <v>304</v>
      </c>
      <c r="G7" s="46" t="s">
        <v>801</v>
      </c>
      <c r="H7" s="51" t="s">
        <v>305</v>
      </c>
      <c r="I7" s="51" t="s">
        <v>306</v>
      </c>
      <c r="J7" s="46" t="s">
        <v>802</v>
      </c>
    </row>
    <row r="8" ht="42" customHeight="1" spans="1:10">
      <c r="A8" s="50" t="s">
        <v>794</v>
      </c>
      <c r="B8" s="51" t="s">
        <v>799</v>
      </c>
      <c r="C8" s="51" t="s">
        <v>301</v>
      </c>
      <c r="D8" s="51" t="s">
        <v>302</v>
      </c>
      <c r="E8" s="46" t="s">
        <v>803</v>
      </c>
      <c r="F8" s="51" t="s">
        <v>304</v>
      </c>
      <c r="G8" s="46" t="s">
        <v>140</v>
      </c>
      <c r="H8" s="51" t="s">
        <v>305</v>
      </c>
      <c r="I8" s="51" t="s">
        <v>306</v>
      </c>
      <c r="J8" s="46" t="s">
        <v>804</v>
      </c>
    </row>
    <row r="9" ht="42" customHeight="1" spans="1:10">
      <c r="A9" s="50" t="s">
        <v>794</v>
      </c>
      <c r="B9" s="51" t="s">
        <v>799</v>
      </c>
      <c r="C9" s="51" t="s">
        <v>301</v>
      </c>
      <c r="D9" s="51" t="s">
        <v>302</v>
      </c>
      <c r="E9" s="46" t="s">
        <v>805</v>
      </c>
      <c r="F9" s="51" t="s">
        <v>304</v>
      </c>
      <c r="G9" s="46" t="s">
        <v>806</v>
      </c>
      <c r="H9" s="51" t="s">
        <v>305</v>
      </c>
      <c r="I9" s="51" t="s">
        <v>306</v>
      </c>
      <c r="J9" s="46" t="s">
        <v>807</v>
      </c>
    </row>
    <row r="10" ht="42" customHeight="1" spans="1:10">
      <c r="A10" s="50" t="s">
        <v>794</v>
      </c>
      <c r="B10" s="51" t="s">
        <v>799</v>
      </c>
      <c r="C10" s="51" t="s">
        <v>301</v>
      </c>
      <c r="D10" s="51" t="s">
        <v>392</v>
      </c>
      <c r="E10" s="46" t="s">
        <v>808</v>
      </c>
      <c r="F10" s="51" t="s">
        <v>304</v>
      </c>
      <c r="G10" s="46" t="s">
        <v>359</v>
      </c>
      <c r="H10" s="51" t="s">
        <v>324</v>
      </c>
      <c r="I10" s="51" t="s">
        <v>306</v>
      </c>
      <c r="J10" s="46" t="s">
        <v>809</v>
      </c>
    </row>
    <row r="11" ht="42" customHeight="1" spans="1:10">
      <c r="A11" s="50" t="s">
        <v>794</v>
      </c>
      <c r="B11" s="51" t="s">
        <v>799</v>
      </c>
      <c r="C11" s="51" t="s">
        <v>301</v>
      </c>
      <c r="D11" s="51" t="s">
        <v>392</v>
      </c>
      <c r="E11" s="46" t="s">
        <v>810</v>
      </c>
      <c r="F11" s="51" t="s">
        <v>310</v>
      </c>
      <c r="G11" s="46" t="s">
        <v>352</v>
      </c>
      <c r="H11" s="51" t="s">
        <v>324</v>
      </c>
      <c r="I11" s="51" t="s">
        <v>306</v>
      </c>
      <c r="J11" s="46" t="s">
        <v>811</v>
      </c>
    </row>
    <row r="12" ht="42" customHeight="1" spans="1:10">
      <c r="A12" s="50" t="s">
        <v>794</v>
      </c>
      <c r="B12" s="51" t="s">
        <v>799</v>
      </c>
      <c r="C12" s="51" t="s">
        <v>314</v>
      </c>
      <c r="D12" s="51" t="s">
        <v>430</v>
      </c>
      <c r="E12" s="46" t="s">
        <v>812</v>
      </c>
      <c r="F12" s="51" t="s">
        <v>304</v>
      </c>
      <c r="G12" s="46" t="s">
        <v>137</v>
      </c>
      <c r="H12" s="51" t="s">
        <v>324</v>
      </c>
      <c r="I12" s="51" t="s">
        <v>306</v>
      </c>
      <c r="J12" s="46" t="s">
        <v>433</v>
      </c>
    </row>
    <row r="13" ht="42" customHeight="1" spans="1:10">
      <c r="A13" s="50" t="s">
        <v>794</v>
      </c>
      <c r="B13" s="51" t="s">
        <v>799</v>
      </c>
      <c r="C13" s="51" t="s">
        <v>314</v>
      </c>
      <c r="D13" s="51" t="s">
        <v>315</v>
      </c>
      <c r="E13" s="46" t="s">
        <v>813</v>
      </c>
      <c r="F13" s="51" t="s">
        <v>304</v>
      </c>
      <c r="G13" s="46" t="s">
        <v>138</v>
      </c>
      <c r="H13" s="51" t="s">
        <v>324</v>
      </c>
      <c r="I13" s="51" t="s">
        <v>306</v>
      </c>
      <c r="J13" s="46" t="s">
        <v>814</v>
      </c>
    </row>
    <row r="14" ht="42" customHeight="1" spans="1:10">
      <c r="A14" s="50" t="s">
        <v>794</v>
      </c>
      <c r="B14" s="51" t="s">
        <v>799</v>
      </c>
      <c r="C14" s="51" t="s">
        <v>314</v>
      </c>
      <c r="D14" s="51" t="s">
        <v>443</v>
      </c>
      <c r="E14" s="46" t="s">
        <v>815</v>
      </c>
      <c r="F14" s="51" t="s">
        <v>304</v>
      </c>
      <c r="G14" s="46" t="s">
        <v>138</v>
      </c>
      <c r="H14" s="51" t="s">
        <v>305</v>
      </c>
      <c r="I14" s="51" t="s">
        <v>306</v>
      </c>
      <c r="J14" s="46" t="s">
        <v>816</v>
      </c>
    </row>
    <row r="15" ht="42" customHeight="1" spans="1:10">
      <c r="A15" s="50" t="s">
        <v>794</v>
      </c>
      <c r="B15" s="51" t="s">
        <v>799</v>
      </c>
      <c r="C15" s="51" t="s">
        <v>320</v>
      </c>
      <c r="D15" s="51" t="s">
        <v>321</v>
      </c>
      <c r="E15" s="46" t="s">
        <v>817</v>
      </c>
      <c r="F15" s="51" t="s">
        <v>304</v>
      </c>
      <c r="G15" s="46" t="s">
        <v>447</v>
      </c>
      <c r="H15" s="51" t="s">
        <v>324</v>
      </c>
      <c r="I15" s="51" t="s">
        <v>306</v>
      </c>
      <c r="J15" s="46" t="s">
        <v>818</v>
      </c>
    </row>
    <row r="16" ht="42" customHeight="1" spans="1:10">
      <c r="A16" s="50" t="s">
        <v>796</v>
      </c>
      <c r="B16" s="51" t="s">
        <v>819</v>
      </c>
      <c r="C16" s="51" t="s">
        <v>301</v>
      </c>
      <c r="D16" s="51" t="s">
        <v>302</v>
      </c>
      <c r="E16" s="46" t="s">
        <v>820</v>
      </c>
      <c r="F16" s="51" t="s">
        <v>304</v>
      </c>
      <c r="G16" s="46" t="s">
        <v>138</v>
      </c>
      <c r="H16" s="51" t="s">
        <v>305</v>
      </c>
      <c r="I16" s="51" t="s">
        <v>306</v>
      </c>
      <c r="J16" s="46" t="s">
        <v>821</v>
      </c>
    </row>
    <row r="17" ht="42" customHeight="1" spans="1:10">
      <c r="A17" s="50" t="s">
        <v>796</v>
      </c>
      <c r="B17" s="51" t="s">
        <v>819</v>
      </c>
      <c r="C17" s="51" t="s">
        <v>301</v>
      </c>
      <c r="D17" s="51" t="s">
        <v>302</v>
      </c>
      <c r="E17" s="46" t="s">
        <v>822</v>
      </c>
      <c r="F17" s="51" t="s">
        <v>304</v>
      </c>
      <c r="G17" s="46" t="s">
        <v>525</v>
      </c>
      <c r="H17" s="51" t="s">
        <v>324</v>
      </c>
      <c r="I17" s="51" t="s">
        <v>306</v>
      </c>
      <c r="J17" s="46" t="s">
        <v>823</v>
      </c>
    </row>
    <row r="18" ht="42" customHeight="1" spans="1:10">
      <c r="A18" s="50" t="s">
        <v>796</v>
      </c>
      <c r="B18" s="51" t="s">
        <v>819</v>
      </c>
      <c r="C18" s="51" t="s">
        <v>301</v>
      </c>
      <c r="D18" s="51" t="s">
        <v>302</v>
      </c>
      <c r="E18" s="46" t="s">
        <v>824</v>
      </c>
      <c r="F18" s="51" t="s">
        <v>304</v>
      </c>
      <c r="G18" s="46" t="s">
        <v>333</v>
      </c>
      <c r="H18" s="51" t="s">
        <v>305</v>
      </c>
      <c r="I18" s="51" t="s">
        <v>306</v>
      </c>
      <c r="J18" s="46" t="s">
        <v>824</v>
      </c>
    </row>
    <row r="19" ht="42" customHeight="1" spans="1:10">
      <c r="A19" s="50" t="s">
        <v>796</v>
      </c>
      <c r="B19" s="51" t="s">
        <v>819</v>
      </c>
      <c r="C19" s="51" t="s">
        <v>301</v>
      </c>
      <c r="D19" s="51" t="s">
        <v>392</v>
      </c>
      <c r="E19" s="46" t="s">
        <v>825</v>
      </c>
      <c r="F19" s="51" t="s">
        <v>304</v>
      </c>
      <c r="G19" s="46" t="s">
        <v>525</v>
      </c>
      <c r="H19" s="51" t="s">
        <v>324</v>
      </c>
      <c r="I19" s="51" t="s">
        <v>306</v>
      </c>
      <c r="J19" s="46" t="s">
        <v>826</v>
      </c>
    </row>
    <row r="20" ht="42" customHeight="1" spans="1:10">
      <c r="A20" s="50" t="s">
        <v>796</v>
      </c>
      <c r="B20" s="51" t="s">
        <v>819</v>
      </c>
      <c r="C20" s="51" t="s">
        <v>301</v>
      </c>
      <c r="D20" s="51" t="s">
        <v>392</v>
      </c>
      <c r="E20" s="46" t="s">
        <v>521</v>
      </c>
      <c r="F20" s="51" t="s">
        <v>348</v>
      </c>
      <c r="G20" s="46" t="s">
        <v>827</v>
      </c>
      <c r="H20" s="51" t="s">
        <v>828</v>
      </c>
      <c r="I20" s="51" t="s">
        <v>306</v>
      </c>
      <c r="J20" s="46" t="s">
        <v>829</v>
      </c>
    </row>
    <row r="21" ht="42" customHeight="1" spans="1:10">
      <c r="A21" s="50" t="s">
        <v>796</v>
      </c>
      <c r="B21" s="51" t="s">
        <v>819</v>
      </c>
      <c r="C21" s="51" t="s">
        <v>301</v>
      </c>
      <c r="D21" s="51" t="s">
        <v>392</v>
      </c>
      <c r="E21" s="46" t="s">
        <v>830</v>
      </c>
      <c r="F21" s="51" t="s">
        <v>304</v>
      </c>
      <c r="G21" s="46" t="s">
        <v>525</v>
      </c>
      <c r="H21" s="51" t="s">
        <v>324</v>
      </c>
      <c r="I21" s="51" t="s">
        <v>306</v>
      </c>
      <c r="J21" s="46" t="s">
        <v>831</v>
      </c>
    </row>
    <row r="22" ht="42" customHeight="1" spans="1:10">
      <c r="A22" s="50" t="s">
        <v>796</v>
      </c>
      <c r="B22" s="51" t="s">
        <v>819</v>
      </c>
      <c r="C22" s="51" t="s">
        <v>301</v>
      </c>
      <c r="D22" s="51" t="s">
        <v>392</v>
      </c>
      <c r="E22" s="46" t="s">
        <v>524</v>
      </c>
      <c r="F22" s="51" t="s">
        <v>304</v>
      </c>
      <c r="G22" s="46" t="s">
        <v>525</v>
      </c>
      <c r="H22" s="51" t="s">
        <v>324</v>
      </c>
      <c r="I22" s="51" t="s">
        <v>306</v>
      </c>
      <c r="J22" s="46" t="s">
        <v>526</v>
      </c>
    </row>
    <row r="23" ht="42" customHeight="1" spans="1:10">
      <c r="A23" s="50" t="s">
        <v>796</v>
      </c>
      <c r="B23" s="51" t="s">
        <v>819</v>
      </c>
      <c r="C23" s="51" t="s">
        <v>301</v>
      </c>
      <c r="D23" s="51" t="s">
        <v>392</v>
      </c>
      <c r="E23" s="46" t="s">
        <v>832</v>
      </c>
      <c r="F23" s="51" t="s">
        <v>348</v>
      </c>
      <c r="G23" s="46" t="s">
        <v>827</v>
      </c>
      <c r="H23" s="51" t="s">
        <v>828</v>
      </c>
      <c r="I23" s="51" t="s">
        <v>306</v>
      </c>
      <c r="J23" s="46" t="s">
        <v>833</v>
      </c>
    </row>
    <row r="24" ht="42" customHeight="1" spans="1:10">
      <c r="A24" s="50" t="s">
        <v>796</v>
      </c>
      <c r="B24" s="51" t="s">
        <v>819</v>
      </c>
      <c r="C24" s="51" t="s">
        <v>314</v>
      </c>
      <c r="D24" s="51" t="s">
        <v>315</v>
      </c>
      <c r="E24" s="46" t="s">
        <v>529</v>
      </c>
      <c r="F24" s="51" t="s">
        <v>310</v>
      </c>
      <c r="G24" s="46" t="s">
        <v>493</v>
      </c>
      <c r="H24" s="51" t="s">
        <v>530</v>
      </c>
      <c r="I24" s="51" t="s">
        <v>313</v>
      </c>
      <c r="J24" s="46" t="s">
        <v>834</v>
      </c>
    </row>
    <row r="25" ht="42" customHeight="1" spans="1:10">
      <c r="A25" s="50" t="s">
        <v>796</v>
      </c>
      <c r="B25" s="51" t="s">
        <v>819</v>
      </c>
      <c r="C25" s="51" t="s">
        <v>314</v>
      </c>
      <c r="D25" s="51" t="s">
        <v>443</v>
      </c>
      <c r="E25" s="46" t="s">
        <v>532</v>
      </c>
      <c r="F25" s="51" t="s">
        <v>310</v>
      </c>
      <c r="G25" s="46" t="s">
        <v>493</v>
      </c>
      <c r="H25" s="51" t="s">
        <v>530</v>
      </c>
      <c r="I25" s="51" t="s">
        <v>313</v>
      </c>
      <c r="J25" s="46" t="s">
        <v>533</v>
      </c>
    </row>
    <row r="26" ht="42" customHeight="1" spans="1:10">
      <c r="A26" s="50" t="s">
        <v>796</v>
      </c>
      <c r="B26" s="51" t="s">
        <v>819</v>
      </c>
      <c r="C26" s="51" t="s">
        <v>320</v>
      </c>
      <c r="D26" s="51" t="s">
        <v>321</v>
      </c>
      <c r="E26" s="46" t="s">
        <v>534</v>
      </c>
      <c r="F26" s="51" t="s">
        <v>304</v>
      </c>
      <c r="G26" s="46" t="s">
        <v>359</v>
      </c>
      <c r="H26" s="51" t="s">
        <v>324</v>
      </c>
      <c r="I26" s="51" t="s">
        <v>306</v>
      </c>
      <c r="J26" s="46" t="s">
        <v>537</v>
      </c>
    </row>
    <row r="27" ht="42" customHeight="1" spans="1:10">
      <c r="A27" s="50" t="s">
        <v>796</v>
      </c>
      <c r="B27" s="51" t="s">
        <v>819</v>
      </c>
      <c r="C27" s="51" t="s">
        <v>320</v>
      </c>
      <c r="D27" s="51" t="s">
        <v>321</v>
      </c>
      <c r="E27" s="46" t="s">
        <v>536</v>
      </c>
      <c r="F27" s="51" t="s">
        <v>304</v>
      </c>
      <c r="G27" s="46" t="s">
        <v>359</v>
      </c>
      <c r="H27" s="51" t="s">
        <v>324</v>
      </c>
      <c r="I27" s="51" t="s">
        <v>306</v>
      </c>
      <c r="J27" s="46" t="s">
        <v>537</v>
      </c>
    </row>
    <row r="28" ht="42" customHeight="1" spans="1:10">
      <c r="A28" s="50" t="s">
        <v>793</v>
      </c>
      <c r="B28" s="51" t="s">
        <v>835</v>
      </c>
      <c r="C28" s="51" t="s">
        <v>301</v>
      </c>
      <c r="D28" s="51" t="s">
        <v>302</v>
      </c>
      <c r="E28" s="46" t="s">
        <v>836</v>
      </c>
      <c r="F28" s="51" t="s">
        <v>304</v>
      </c>
      <c r="G28" s="46" t="s">
        <v>801</v>
      </c>
      <c r="H28" s="51" t="s">
        <v>305</v>
      </c>
      <c r="I28" s="51" t="s">
        <v>306</v>
      </c>
      <c r="J28" s="46" t="s">
        <v>837</v>
      </c>
    </row>
    <row r="29" ht="42" customHeight="1" spans="1:10">
      <c r="A29" s="50" t="s">
        <v>793</v>
      </c>
      <c r="B29" s="51" t="s">
        <v>835</v>
      </c>
      <c r="C29" s="51" t="s">
        <v>301</v>
      </c>
      <c r="D29" s="51" t="s">
        <v>302</v>
      </c>
      <c r="E29" s="46" t="s">
        <v>838</v>
      </c>
      <c r="F29" s="51" t="s">
        <v>304</v>
      </c>
      <c r="G29" s="46" t="s">
        <v>839</v>
      </c>
      <c r="H29" s="51" t="s">
        <v>305</v>
      </c>
      <c r="I29" s="51" t="s">
        <v>306</v>
      </c>
      <c r="J29" s="46" t="s">
        <v>840</v>
      </c>
    </row>
    <row r="30" ht="42" customHeight="1" spans="1:10">
      <c r="A30" s="50" t="s">
        <v>793</v>
      </c>
      <c r="B30" s="51" t="s">
        <v>835</v>
      </c>
      <c r="C30" s="51" t="s">
        <v>301</v>
      </c>
      <c r="D30" s="51" t="s">
        <v>302</v>
      </c>
      <c r="E30" s="46" t="s">
        <v>841</v>
      </c>
      <c r="F30" s="51" t="s">
        <v>304</v>
      </c>
      <c r="G30" s="46" t="s">
        <v>515</v>
      </c>
      <c r="H30" s="51" t="s">
        <v>305</v>
      </c>
      <c r="I30" s="51" t="s">
        <v>306</v>
      </c>
      <c r="J30" s="46" t="s">
        <v>842</v>
      </c>
    </row>
    <row r="31" ht="42" customHeight="1" spans="1:10">
      <c r="A31" s="50" t="s">
        <v>793</v>
      </c>
      <c r="B31" s="51" t="s">
        <v>835</v>
      </c>
      <c r="C31" s="51" t="s">
        <v>314</v>
      </c>
      <c r="D31" s="51" t="s">
        <v>443</v>
      </c>
      <c r="E31" s="46" t="s">
        <v>843</v>
      </c>
      <c r="F31" s="51" t="s">
        <v>310</v>
      </c>
      <c r="G31" s="46" t="s">
        <v>844</v>
      </c>
      <c r="H31" s="51" t="s">
        <v>312</v>
      </c>
      <c r="I31" s="51" t="s">
        <v>313</v>
      </c>
      <c r="J31" s="46" t="s">
        <v>845</v>
      </c>
    </row>
    <row r="32" ht="42" customHeight="1" spans="1:10">
      <c r="A32" s="50" t="s">
        <v>793</v>
      </c>
      <c r="B32" s="51" t="s">
        <v>835</v>
      </c>
      <c r="C32" s="51" t="s">
        <v>320</v>
      </c>
      <c r="D32" s="51" t="s">
        <v>321</v>
      </c>
      <c r="E32" s="46" t="s">
        <v>846</v>
      </c>
      <c r="F32" s="51" t="s">
        <v>304</v>
      </c>
      <c r="G32" s="46" t="s">
        <v>376</v>
      </c>
      <c r="H32" s="51" t="s">
        <v>324</v>
      </c>
      <c r="I32" s="51" t="s">
        <v>306</v>
      </c>
      <c r="J32" s="46" t="s">
        <v>847</v>
      </c>
    </row>
    <row r="33" ht="42" customHeight="1" spans="1:10">
      <c r="A33" s="50" t="s">
        <v>791</v>
      </c>
      <c r="B33" s="51" t="s">
        <v>848</v>
      </c>
      <c r="C33" s="51" t="s">
        <v>301</v>
      </c>
      <c r="D33" s="51" t="s">
        <v>302</v>
      </c>
      <c r="E33" s="46" t="s">
        <v>849</v>
      </c>
      <c r="F33" s="51" t="s">
        <v>304</v>
      </c>
      <c r="G33" s="46" t="s">
        <v>850</v>
      </c>
      <c r="H33" s="51" t="s">
        <v>851</v>
      </c>
      <c r="I33" s="51" t="s">
        <v>306</v>
      </c>
      <c r="J33" s="46" t="s">
        <v>852</v>
      </c>
    </row>
    <row r="34" ht="42" customHeight="1" spans="1:10">
      <c r="A34" s="50" t="s">
        <v>791</v>
      </c>
      <c r="B34" s="51" t="s">
        <v>848</v>
      </c>
      <c r="C34" s="51" t="s">
        <v>301</v>
      </c>
      <c r="D34" s="51" t="s">
        <v>302</v>
      </c>
      <c r="E34" s="46" t="s">
        <v>853</v>
      </c>
      <c r="F34" s="51" t="s">
        <v>304</v>
      </c>
      <c r="G34" s="46" t="s">
        <v>854</v>
      </c>
      <c r="H34" s="51" t="s">
        <v>305</v>
      </c>
      <c r="I34" s="51" t="s">
        <v>306</v>
      </c>
      <c r="J34" s="46" t="s">
        <v>855</v>
      </c>
    </row>
    <row r="35" ht="42" customHeight="1" spans="1:10">
      <c r="A35" s="50" t="s">
        <v>791</v>
      </c>
      <c r="B35" s="51" t="s">
        <v>848</v>
      </c>
      <c r="C35" s="51" t="s">
        <v>301</v>
      </c>
      <c r="D35" s="51" t="s">
        <v>302</v>
      </c>
      <c r="E35" s="46" t="s">
        <v>856</v>
      </c>
      <c r="F35" s="51" t="s">
        <v>304</v>
      </c>
      <c r="G35" s="46" t="s">
        <v>857</v>
      </c>
      <c r="H35" s="51" t="s">
        <v>460</v>
      </c>
      <c r="I35" s="51" t="s">
        <v>306</v>
      </c>
      <c r="J35" s="46" t="s">
        <v>858</v>
      </c>
    </row>
    <row r="36" ht="42" customHeight="1" spans="1:10">
      <c r="A36" s="50" t="s">
        <v>791</v>
      </c>
      <c r="B36" s="51" t="s">
        <v>848</v>
      </c>
      <c r="C36" s="51" t="s">
        <v>301</v>
      </c>
      <c r="D36" s="51" t="s">
        <v>308</v>
      </c>
      <c r="E36" s="46" t="s">
        <v>859</v>
      </c>
      <c r="F36" s="51" t="s">
        <v>310</v>
      </c>
      <c r="G36" s="46" t="s">
        <v>860</v>
      </c>
      <c r="H36" s="51" t="s">
        <v>312</v>
      </c>
      <c r="I36" s="51" t="s">
        <v>313</v>
      </c>
      <c r="J36" s="46" t="s">
        <v>861</v>
      </c>
    </row>
    <row r="37" ht="42" customHeight="1" spans="1:10">
      <c r="A37" s="50" t="s">
        <v>791</v>
      </c>
      <c r="B37" s="51" t="s">
        <v>848</v>
      </c>
      <c r="C37" s="51" t="s">
        <v>314</v>
      </c>
      <c r="D37" s="51" t="s">
        <v>315</v>
      </c>
      <c r="E37" s="46" t="s">
        <v>862</v>
      </c>
      <c r="F37" s="51" t="s">
        <v>304</v>
      </c>
      <c r="G37" s="46" t="s">
        <v>140</v>
      </c>
      <c r="H37" s="51" t="s">
        <v>324</v>
      </c>
      <c r="I37" s="51" t="s">
        <v>306</v>
      </c>
      <c r="J37" s="46" t="s">
        <v>863</v>
      </c>
    </row>
    <row r="38" ht="42" customHeight="1" spans="1:10">
      <c r="A38" s="50" t="s">
        <v>791</v>
      </c>
      <c r="B38" s="51" t="s">
        <v>848</v>
      </c>
      <c r="C38" s="51" t="s">
        <v>320</v>
      </c>
      <c r="D38" s="51" t="s">
        <v>321</v>
      </c>
      <c r="E38" s="46" t="s">
        <v>864</v>
      </c>
      <c r="F38" s="51" t="s">
        <v>304</v>
      </c>
      <c r="G38" s="46" t="s">
        <v>376</v>
      </c>
      <c r="H38" s="51" t="s">
        <v>324</v>
      </c>
      <c r="I38" s="51" t="s">
        <v>306</v>
      </c>
      <c r="J38" s="46" t="s">
        <v>865</v>
      </c>
    </row>
    <row r="39" ht="42" customHeight="1" spans="1:10">
      <c r="A39" s="50" t="s">
        <v>792</v>
      </c>
      <c r="B39" s="51" t="s">
        <v>866</v>
      </c>
      <c r="C39" s="51" t="s">
        <v>301</v>
      </c>
      <c r="D39" s="51" t="s">
        <v>302</v>
      </c>
      <c r="E39" s="46" t="s">
        <v>867</v>
      </c>
      <c r="F39" s="51" t="s">
        <v>304</v>
      </c>
      <c r="G39" s="46" t="s">
        <v>868</v>
      </c>
      <c r="H39" s="51" t="s">
        <v>305</v>
      </c>
      <c r="I39" s="51" t="s">
        <v>306</v>
      </c>
      <c r="J39" s="46" t="s">
        <v>869</v>
      </c>
    </row>
    <row r="40" ht="42" customHeight="1" spans="1:10">
      <c r="A40" s="50" t="s">
        <v>792</v>
      </c>
      <c r="B40" s="51" t="s">
        <v>866</v>
      </c>
      <c r="C40" s="51" t="s">
        <v>301</v>
      </c>
      <c r="D40" s="51" t="s">
        <v>302</v>
      </c>
      <c r="E40" s="46" t="s">
        <v>870</v>
      </c>
      <c r="F40" s="51" t="s">
        <v>304</v>
      </c>
      <c r="G40" s="46" t="s">
        <v>871</v>
      </c>
      <c r="H40" s="51" t="s">
        <v>872</v>
      </c>
      <c r="I40" s="51" t="s">
        <v>306</v>
      </c>
      <c r="J40" s="46" t="s">
        <v>873</v>
      </c>
    </row>
    <row r="41" ht="42" customHeight="1" spans="1:10">
      <c r="A41" s="50" t="s">
        <v>792</v>
      </c>
      <c r="B41" s="51" t="s">
        <v>866</v>
      </c>
      <c r="C41" s="51" t="s">
        <v>301</v>
      </c>
      <c r="D41" s="51" t="s">
        <v>308</v>
      </c>
      <c r="E41" s="46" t="s">
        <v>874</v>
      </c>
      <c r="F41" s="51" t="s">
        <v>304</v>
      </c>
      <c r="G41" s="46" t="s">
        <v>441</v>
      </c>
      <c r="H41" s="51" t="s">
        <v>851</v>
      </c>
      <c r="I41" s="51" t="s">
        <v>306</v>
      </c>
      <c r="J41" s="46" t="s">
        <v>875</v>
      </c>
    </row>
    <row r="42" ht="42" customHeight="1" spans="1:10">
      <c r="A42" s="50" t="s">
        <v>792</v>
      </c>
      <c r="B42" s="51" t="s">
        <v>866</v>
      </c>
      <c r="C42" s="51" t="s">
        <v>314</v>
      </c>
      <c r="D42" s="51" t="s">
        <v>315</v>
      </c>
      <c r="E42" s="46" t="s">
        <v>876</v>
      </c>
      <c r="F42" s="51" t="s">
        <v>304</v>
      </c>
      <c r="G42" s="46" t="s">
        <v>380</v>
      </c>
      <c r="H42" s="51" t="s">
        <v>324</v>
      </c>
      <c r="I42" s="51" t="s">
        <v>313</v>
      </c>
      <c r="J42" s="46" t="s">
        <v>877</v>
      </c>
    </row>
    <row r="43" ht="42" customHeight="1" spans="1:10">
      <c r="A43" s="50" t="s">
        <v>792</v>
      </c>
      <c r="B43" s="51" t="s">
        <v>866</v>
      </c>
      <c r="C43" s="51" t="s">
        <v>320</v>
      </c>
      <c r="D43" s="51" t="s">
        <v>321</v>
      </c>
      <c r="E43" s="46" t="s">
        <v>878</v>
      </c>
      <c r="F43" s="51" t="s">
        <v>304</v>
      </c>
      <c r="G43" s="46" t="s">
        <v>376</v>
      </c>
      <c r="H43" s="51" t="s">
        <v>324</v>
      </c>
      <c r="I43" s="51" t="s">
        <v>306</v>
      </c>
      <c r="J43" s="46" t="s">
        <v>879</v>
      </c>
    </row>
    <row r="44" ht="42" customHeight="1" spans="1:10">
      <c r="A44" s="50" t="s">
        <v>795</v>
      </c>
      <c r="B44" s="51" t="s">
        <v>880</v>
      </c>
      <c r="C44" s="51" t="s">
        <v>301</v>
      </c>
      <c r="D44" s="51" t="s">
        <v>302</v>
      </c>
      <c r="E44" s="46" t="s">
        <v>881</v>
      </c>
      <c r="F44" s="51" t="s">
        <v>304</v>
      </c>
      <c r="G44" s="46" t="s">
        <v>801</v>
      </c>
      <c r="H44" s="51" t="s">
        <v>305</v>
      </c>
      <c r="I44" s="51" t="s">
        <v>306</v>
      </c>
      <c r="J44" s="46" t="s">
        <v>882</v>
      </c>
    </row>
    <row r="45" ht="42" customHeight="1" spans="1:10">
      <c r="A45" s="50" t="s">
        <v>795</v>
      </c>
      <c r="B45" s="51" t="s">
        <v>880</v>
      </c>
      <c r="C45" s="51" t="s">
        <v>301</v>
      </c>
      <c r="D45" s="51" t="s">
        <v>302</v>
      </c>
      <c r="E45" s="46" t="s">
        <v>883</v>
      </c>
      <c r="F45" s="51" t="s">
        <v>304</v>
      </c>
      <c r="G45" s="46" t="s">
        <v>140</v>
      </c>
      <c r="H45" s="51" t="s">
        <v>305</v>
      </c>
      <c r="I45" s="51" t="s">
        <v>306</v>
      </c>
      <c r="J45" s="46" t="s">
        <v>884</v>
      </c>
    </row>
    <row r="46" ht="42" customHeight="1" spans="1:10">
      <c r="A46" s="50" t="s">
        <v>795</v>
      </c>
      <c r="B46" s="51" t="s">
        <v>880</v>
      </c>
      <c r="C46" s="51" t="s">
        <v>301</v>
      </c>
      <c r="D46" s="51" t="s">
        <v>302</v>
      </c>
      <c r="E46" s="46" t="s">
        <v>885</v>
      </c>
      <c r="F46" s="51" t="s">
        <v>304</v>
      </c>
      <c r="G46" s="46" t="s">
        <v>886</v>
      </c>
      <c r="H46" s="51" t="s">
        <v>356</v>
      </c>
      <c r="I46" s="51" t="s">
        <v>306</v>
      </c>
      <c r="J46" s="46" t="s">
        <v>887</v>
      </c>
    </row>
    <row r="47" ht="42" customHeight="1" spans="1:10">
      <c r="A47" s="50" t="s">
        <v>795</v>
      </c>
      <c r="B47" s="51" t="s">
        <v>880</v>
      </c>
      <c r="C47" s="51" t="s">
        <v>301</v>
      </c>
      <c r="D47" s="51" t="s">
        <v>392</v>
      </c>
      <c r="E47" s="46" t="s">
        <v>888</v>
      </c>
      <c r="F47" s="51" t="s">
        <v>310</v>
      </c>
      <c r="G47" s="46" t="s">
        <v>352</v>
      </c>
      <c r="H47" s="51" t="s">
        <v>324</v>
      </c>
      <c r="I47" s="51" t="s">
        <v>306</v>
      </c>
      <c r="J47" s="46" t="s">
        <v>889</v>
      </c>
    </row>
    <row r="48" ht="42" customHeight="1" spans="1:10">
      <c r="A48" s="50" t="s">
        <v>795</v>
      </c>
      <c r="B48" s="51" t="s">
        <v>880</v>
      </c>
      <c r="C48" s="51" t="s">
        <v>314</v>
      </c>
      <c r="D48" s="51" t="s">
        <v>443</v>
      </c>
      <c r="E48" s="46" t="s">
        <v>492</v>
      </c>
      <c r="F48" s="51" t="s">
        <v>310</v>
      </c>
      <c r="G48" s="46" t="s">
        <v>493</v>
      </c>
      <c r="H48" s="51" t="s">
        <v>312</v>
      </c>
      <c r="I48" s="51" t="s">
        <v>313</v>
      </c>
      <c r="J48" s="46" t="s">
        <v>890</v>
      </c>
    </row>
    <row r="49" ht="42" customHeight="1" spans="1:10">
      <c r="A49" s="50" t="s">
        <v>795</v>
      </c>
      <c r="B49" s="51" t="s">
        <v>880</v>
      </c>
      <c r="C49" s="51" t="s">
        <v>320</v>
      </c>
      <c r="D49" s="51" t="s">
        <v>321</v>
      </c>
      <c r="E49" s="46" t="s">
        <v>891</v>
      </c>
      <c r="F49" s="51" t="s">
        <v>304</v>
      </c>
      <c r="G49" s="46" t="s">
        <v>376</v>
      </c>
      <c r="H49" s="51" t="s">
        <v>324</v>
      </c>
      <c r="I49" s="51" t="s">
        <v>306</v>
      </c>
      <c r="J49" s="46" t="s">
        <v>892</v>
      </c>
    </row>
  </sheetData>
  <mergeCells count="14">
    <mergeCell ref="A2:J2"/>
    <mergeCell ref="A3:H3"/>
    <mergeCell ref="A7:A15"/>
    <mergeCell ref="A16:A27"/>
    <mergeCell ref="A28:A32"/>
    <mergeCell ref="A33:A38"/>
    <mergeCell ref="A39:A43"/>
    <mergeCell ref="A44:A49"/>
    <mergeCell ref="B7:B15"/>
    <mergeCell ref="B16:B27"/>
    <mergeCell ref="B28:B32"/>
    <mergeCell ref="B33:B38"/>
    <mergeCell ref="B39:B43"/>
    <mergeCell ref="B44:B4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H35"/>
  <sheetViews>
    <sheetView showZeros="0" workbookViewId="0">
      <selection activeCell="A1" sqref="A1"/>
    </sheetView>
  </sheetViews>
  <sheetFormatPr defaultColWidth="8.85185185185185" defaultRowHeight="15" customHeight="1" outlineLevelCol="7"/>
  <cols>
    <col min="1" max="1" width="36.0277777777778" customWidth="1"/>
    <col min="2" max="2" width="19.7407407407407" customWidth="1"/>
    <col min="3" max="3" width="33.3148148148148" customWidth="1"/>
    <col min="4" max="4" width="34.7407407407407" customWidth="1"/>
    <col min="5" max="5" width="14.4537037037037" customWidth="1"/>
    <col min="6" max="6" width="17.1759259259259" customWidth="1"/>
    <col min="7" max="7" width="17.3148148148148" customWidth="1"/>
    <col min="8" max="8" width="28.3148148148148" customWidth="1"/>
  </cols>
  <sheetData>
    <row r="1" ht="18.75" customHeight="1" spans="1:8">
      <c r="A1" s="34"/>
      <c r="B1" s="34"/>
      <c r="C1" s="34"/>
      <c r="D1" s="34"/>
      <c r="E1" s="34"/>
      <c r="F1" s="34"/>
      <c r="G1" s="34"/>
      <c r="H1" s="35" t="s">
        <v>893</v>
      </c>
    </row>
    <row r="2" ht="30.65" customHeight="1" spans="1:8">
      <c r="A2" s="36" t="s">
        <v>894</v>
      </c>
      <c r="B2" s="36"/>
      <c r="C2" s="36"/>
      <c r="D2" s="36"/>
      <c r="E2" s="36"/>
      <c r="F2" s="36"/>
      <c r="G2" s="36"/>
      <c r="H2" s="36"/>
    </row>
    <row r="3" ht="18.75" customHeight="1" spans="1:8">
      <c r="A3" s="34" t="str">
        <f>"单位名称："&amp;"云南省文化和旅游厅"</f>
        <v>单位名称：云南省文化和旅游厅</v>
      </c>
      <c r="B3" s="34"/>
      <c r="C3" s="34"/>
      <c r="D3" s="34"/>
      <c r="E3" s="34"/>
      <c r="F3" s="34"/>
      <c r="G3" s="34"/>
      <c r="H3" s="34"/>
    </row>
    <row r="4" ht="18.75" customHeight="1" spans="1:8">
      <c r="A4" s="37" t="s">
        <v>153</v>
      </c>
      <c r="B4" s="37" t="s">
        <v>895</v>
      </c>
      <c r="C4" s="37" t="s">
        <v>896</v>
      </c>
      <c r="D4" s="37" t="s">
        <v>897</v>
      </c>
      <c r="E4" s="37" t="s">
        <v>898</v>
      </c>
      <c r="F4" s="37" t="s">
        <v>899</v>
      </c>
      <c r="G4" s="37"/>
      <c r="H4" s="37"/>
    </row>
    <row r="5" ht="18.75" customHeight="1" spans="1:8">
      <c r="A5" s="37"/>
      <c r="B5" s="37"/>
      <c r="C5" s="37"/>
      <c r="D5" s="37"/>
      <c r="E5" s="37"/>
      <c r="F5" s="37" t="s">
        <v>560</v>
      </c>
      <c r="G5" s="37" t="s">
        <v>900</v>
      </c>
      <c r="H5" s="37" t="s">
        <v>901</v>
      </c>
    </row>
    <row r="6" ht="18.75" customHeight="1" spans="1:8">
      <c r="A6" s="38" t="s">
        <v>136</v>
      </c>
      <c r="B6" s="38" t="s">
        <v>137</v>
      </c>
      <c r="C6" s="38" t="s">
        <v>138</v>
      </c>
      <c r="D6" s="38" t="s">
        <v>139</v>
      </c>
      <c r="E6" s="38" t="s">
        <v>140</v>
      </c>
      <c r="F6" s="38" t="s">
        <v>141</v>
      </c>
      <c r="G6" s="38" t="s">
        <v>542</v>
      </c>
      <c r="H6" s="38" t="s">
        <v>417</v>
      </c>
    </row>
    <row r="7" ht="29.9" customHeight="1" spans="1:8">
      <c r="A7" s="39" t="s">
        <v>46</v>
      </c>
      <c r="B7" s="39" t="s">
        <v>902</v>
      </c>
      <c r="C7" s="39" t="s">
        <v>903</v>
      </c>
      <c r="D7" s="39" t="s">
        <v>634</v>
      </c>
      <c r="E7" s="37" t="s">
        <v>606</v>
      </c>
      <c r="F7" s="40">
        <v>1</v>
      </c>
      <c r="G7" s="41">
        <v>3500</v>
      </c>
      <c r="H7" s="41">
        <v>3500</v>
      </c>
    </row>
    <row r="8" ht="29.9" customHeight="1" spans="1:8">
      <c r="A8" s="39" t="s">
        <v>46</v>
      </c>
      <c r="B8" s="39" t="s">
        <v>902</v>
      </c>
      <c r="C8" s="39" t="s">
        <v>904</v>
      </c>
      <c r="D8" s="39" t="s">
        <v>905</v>
      </c>
      <c r="E8" s="37" t="s">
        <v>606</v>
      </c>
      <c r="F8" s="40">
        <v>1</v>
      </c>
      <c r="G8" s="41">
        <v>600</v>
      </c>
      <c r="H8" s="41">
        <v>600</v>
      </c>
    </row>
    <row r="9" ht="29.9" customHeight="1" spans="1:8">
      <c r="A9" s="39" t="s">
        <v>46</v>
      </c>
      <c r="B9" s="39" t="s">
        <v>902</v>
      </c>
      <c r="C9" s="39" t="s">
        <v>906</v>
      </c>
      <c r="D9" s="39" t="s">
        <v>630</v>
      </c>
      <c r="E9" s="37" t="s">
        <v>305</v>
      </c>
      <c r="F9" s="40">
        <v>10</v>
      </c>
      <c r="G9" s="41">
        <v>1000</v>
      </c>
      <c r="H9" s="41">
        <v>10000</v>
      </c>
    </row>
    <row r="10" ht="29.9" customHeight="1" spans="1:8">
      <c r="A10" s="39" t="s">
        <v>46</v>
      </c>
      <c r="B10" s="39" t="s">
        <v>902</v>
      </c>
      <c r="C10" s="39" t="s">
        <v>906</v>
      </c>
      <c r="D10" s="39" t="s">
        <v>907</v>
      </c>
      <c r="E10" s="37" t="s">
        <v>908</v>
      </c>
      <c r="F10" s="40">
        <v>2</v>
      </c>
      <c r="G10" s="41">
        <v>1300</v>
      </c>
      <c r="H10" s="41">
        <v>2600</v>
      </c>
    </row>
    <row r="11" ht="29.9" customHeight="1" spans="1:8">
      <c r="A11" s="39" t="s">
        <v>46</v>
      </c>
      <c r="B11" s="39" t="s">
        <v>902</v>
      </c>
      <c r="C11" s="39" t="s">
        <v>909</v>
      </c>
      <c r="D11" s="39" t="s">
        <v>632</v>
      </c>
      <c r="E11" s="37" t="s">
        <v>305</v>
      </c>
      <c r="F11" s="40">
        <v>2</v>
      </c>
      <c r="G11" s="41">
        <v>4000</v>
      </c>
      <c r="H11" s="41">
        <v>8000</v>
      </c>
    </row>
    <row r="12" ht="29.9" customHeight="1" spans="1:8">
      <c r="A12" s="39" t="s">
        <v>46</v>
      </c>
      <c r="B12" s="39" t="s">
        <v>902</v>
      </c>
      <c r="C12" s="39" t="s">
        <v>605</v>
      </c>
      <c r="D12" s="39" t="s">
        <v>910</v>
      </c>
      <c r="E12" s="37" t="s">
        <v>606</v>
      </c>
      <c r="F12" s="40">
        <v>1</v>
      </c>
      <c r="G12" s="41">
        <v>120000</v>
      </c>
      <c r="H12" s="41">
        <v>120000</v>
      </c>
    </row>
    <row r="13" ht="29.9" customHeight="1" spans="1:8">
      <c r="A13" s="39" t="s">
        <v>46</v>
      </c>
      <c r="B13" s="39" t="s">
        <v>902</v>
      </c>
      <c r="C13" s="39" t="s">
        <v>605</v>
      </c>
      <c r="D13" s="39" t="s">
        <v>607</v>
      </c>
      <c r="E13" s="37" t="s">
        <v>606</v>
      </c>
      <c r="F13" s="40">
        <v>1</v>
      </c>
      <c r="G13" s="41">
        <v>20000</v>
      </c>
      <c r="H13" s="41">
        <v>20000</v>
      </c>
    </row>
    <row r="14" ht="29.9" customHeight="1" spans="1:8">
      <c r="A14" s="39" t="s">
        <v>46</v>
      </c>
      <c r="B14" s="39" t="s">
        <v>902</v>
      </c>
      <c r="C14" s="39" t="s">
        <v>637</v>
      </c>
      <c r="D14" s="39" t="s">
        <v>636</v>
      </c>
      <c r="E14" s="37" t="s">
        <v>606</v>
      </c>
      <c r="F14" s="40">
        <v>1</v>
      </c>
      <c r="G14" s="41">
        <v>15000</v>
      </c>
      <c r="H14" s="41">
        <v>15000</v>
      </c>
    </row>
    <row r="15" ht="29.9" customHeight="1" spans="1:8">
      <c r="A15" s="39" t="s">
        <v>46</v>
      </c>
      <c r="B15" s="39" t="s">
        <v>902</v>
      </c>
      <c r="C15" s="39" t="s">
        <v>911</v>
      </c>
      <c r="D15" s="39" t="s">
        <v>912</v>
      </c>
      <c r="E15" s="37" t="s">
        <v>606</v>
      </c>
      <c r="F15" s="40">
        <v>2</v>
      </c>
      <c r="G15" s="41">
        <v>830</v>
      </c>
      <c r="H15" s="41">
        <v>1660</v>
      </c>
    </row>
    <row r="16" ht="29.9" customHeight="1" spans="1:8">
      <c r="A16" s="39" t="s">
        <v>46</v>
      </c>
      <c r="B16" s="39" t="s">
        <v>902</v>
      </c>
      <c r="C16" s="39" t="s">
        <v>913</v>
      </c>
      <c r="D16" s="39" t="s">
        <v>914</v>
      </c>
      <c r="E16" s="37" t="s">
        <v>305</v>
      </c>
      <c r="F16" s="40">
        <v>4</v>
      </c>
      <c r="G16" s="41">
        <v>90</v>
      </c>
      <c r="H16" s="41">
        <v>360</v>
      </c>
    </row>
    <row r="17" ht="29.9" customHeight="1" spans="1:8">
      <c r="A17" s="39" t="s">
        <v>46</v>
      </c>
      <c r="B17" s="39" t="s">
        <v>902</v>
      </c>
      <c r="C17" s="39" t="s">
        <v>641</v>
      </c>
      <c r="D17" s="39" t="s">
        <v>640</v>
      </c>
      <c r="E17" s="37" t="s">
        <v>305</v>
      </c>
      <c r="F17" s="40">
        <v>2</v>
      </c>
      <c r="G17" s="41">
        <v>2000</v>
      </c>
      <c r="H17" s="41">
        <v>4000</v>
      </c>
    </row>
    <row r="18" ht="29.9" customHeight="1" spans="1:8">
      <c r="A18" s="39" t="s">
        <v>46</v>
      </c>
      <c r="B18" s="39" t="s">
        <v>902</v>
      </c>
      <c r="C18" s="39" t="s">
        <v>915</v>
      </c>
      <c r="D18" s="39" t="s">
        <v>618</v>
      </c>
      <c r="E18" s="37" t="s">
        <v>305</v>
      </c>
      <c r="F18" s="40">
        <v>1</v>
      </c>
      <c r="G18" s="41">
        <v>3000</v>
      </c>
      <c r="H18" s="41">
        <v>3000</v>
      </c>
    </row>
    <row r="19" ht="29.9" customHeight="1" spans="1:8">
      <c r="A19" s="39" t="s">
        <v>46</v>
      </c>
      <c r="B19" s="39" t="s">
        <v>902</v>
      </c>
      <c r="C19" s="39" t="s">
        <v>916</v>
      </c>
      <c r="D19" s="39" t="s">
        <v>917</v>
      </c>
      <c r="E19" s="37" t="s">
        <v>606</v>
      </c>
      <c r="F19" s="40">
        <v>1</v>
      </c>
      <c r="G19" s="41">
        <v>3375</v>
      </c>
      <c r="H19" s="41">
        <v>3375</v>
      </c>
    </row>
    <row r="20" ht="29.9" customHeight="1" spans="1:8">
      <c r="A20" s="39" t="s">
        <v>46</v>
      </c>
      <c r="B20" s="39" t="s">
        <v>902</v>
      </c>
      <c r="C20" s="39" t="s">
        <v>916</v>
      </c>
      <c r="D20" s="39" t="s">
        <v>635</v>
      </c>
      <c r="E20" s="37" t="s">
        <v>606</v>
      </c>
      <c r="F20" s="40">
        <v>1</v>
      </c>
      <c r="G20" s="41">
        <v>4000</v>
      </c>
      <c r="H20" s="41">
        <v>4000</v>
      </c>
    </row>
    <row r="21" ht="29.9" customHeight="1" spans="1:8">
      <c r="A21" s="39" t="s">
        <v>46</v>
      </c>
      <c r="B21" s="39" t="s">
        <v>902</v>
      </c>
      <c r="C21" s="39" t="s">
        <v>918</v>
      </c>
      <c r="D21" s="39" t="s">
        <v>919</v>
      </c>
      <c r="E21" s="37" t="s">
        <v>606</v>
      </c>
      <c r="F21" s="40">
        <v>1</v>
      </c>
      <c r="G21" s="41">
        <v>1200</v>
      </c>
      <c r="H21" s="41">
        <v>1200</v>
      </c>
    </row>
    <row r="22" ht="29.9" customHeight="1" spans="1:8">
      <c r="A22" s="39" t="s">
        <v>46</v>
      </c>
      <c r="B22" s="39" t="s">
        <v>902</v>
      </c>
      <c r="C22" s="39" t="s">
        <v>920</v>
      </c>
      <c r="D22" s="39" t="s">
        <v>633</v>
      </c>
      <c r="E22" s="37" t="s">
        <v>627</v>
      </c>
      <c r="F22" s="40">
        <v>2</v>
      </c>
      <c r="G22" s="41">
        <v>4000</v>
      </c>
      <c r="H22" s="41">
        <v>8000</v>
      </c>
    </row>
    <row r="23" ht="29.9" customHeight="1" spans="1:8">
      <c r="A23" s="39" t="s">
        <v>46</v>
      </c>
      <c r="B23" s="39" t="s">
        <v>902</v>
      </c>
      <c r="C23" s="39" t="s">
        <v>921</v>
      </c>
      <c r="D23" s="39" t="s">
        <v>922</v>
      </c>
      <c r="E23" s="37" t="s">
        <v>606</v>
      </c>
      <c r="F23" s="40">
        <v>2</v>
      </c>
      <c r="G23" s="41">
        <v>1260</v>
      </c>
      <c r="H23" s="41">
        <v>2520</v>
      </c>
    </row>
    <row r="24" ht="29.9" customHeight="1" spans="1:8">
      <c r="A24" s="39" t="s">
        <v>46</v>
      </c>
      <c r="B24" s="39" t="s">
        <v>902</v>
      </c>
      <c r="C24" s="39" t="s">
        <v>923</v>
      </c>
      <c r="D24" s="39" t="s">
        <v>623</v>
      </c>
      <c r="E24" s="37" t="s">
        <v>305</v>
      </c>
      <c r="F24" s="40">
        <v>2</v>
      </c>
      <c r="G24" s="41">
        <v>25000</v>
      </c>
      <c r="H24" s="41">
        <v>50000</v>
      </c>
    </row>
    <row r="25" ht="29.9" customHeight="1" spans="1:8">
      <c r="A25" s="39" t="s">
        <v>46</v>
      </c>
      <c r="B25" s="39" t="s">
        <v>902</v>
      </c>
      <c r="C25" s="39" t="s">
        <v>924</v>
      </c>
      <c r="D25" s="39" t="s">
        <v>925</v>
      </c>
      <c r="E25" s="37" t="s">
        <v>305</v>
      </c>
      <c r="F25" s="40">
        <v>1</v>
      </c>
      <c r="G25" s="41">
        <v>600</v>
      </c>
      <c r="H25" s="41">
        <v>600</v>
      </c>
    </row>
    <row r="26" ht="29.9" customHeight="1" spans="1:8">
      <c r="A26" s="39" t="s">
        <v>46</v>
      </c>
      <c r="B26" s="39" t="s">
        <v>902</v>
      </c>
      <c r="C26" s="39" t="s">
        <v>626</v>
      </c>
      <c r="D26" s="39" t="s">
        <v>926</v>
      </c>
      <c r="E26" s="37" t="s">
        <v>606</v>
      </c>
      <c r="F26" s="40">
        <v>2</v>
      </c>
      <c r="G26" s="41">
        <v>1800</v>
      </c>
      <c r="H26" s="41">
        <v>3600</v>
      </c>
    </row>
    <row r="27" ht="29.9" customHeight="1" spans="1:8">
      <c r="A27" s="39" t="s">
        <v>46</v>
      </c>
      <c r="B27" s="39" t="s">
        <v>902</v>
      </c>
      <c r="C27" s="39" t="s">
        <v>626</v>
      </c>
      <c r="D27" s="39" t="s">
        <v>625</v>
      </c>
      <c r="E27" s="37" t="s">
        <v>305</v>
      </c>
      <c r="F27" s="40">
        <v>2</v>
      </c>
      <c r="G27" s="41">
        <v>25000</v>
      </c>
      <c r="H27" s="41">
        <v>50000</v>
      </c>
    </row>
    <row r="28" ht="29.9" customHeight="1" spans="1:8">
      <c r="A28" s="39" t="s">
        <v>46</v>
      </c>
      <c r="B28" s="39" t="s">
        <v>902</v>
      </c>
      <c r="C28" s="39" t="s">
        <v>626</v>
      </c>
      <c r="D28" s="39" t="s">
        <v>625</v>
      </c>
      <c r="E28" s="37" t="s">
        <v>627</v>
      </c>
      <c r="F28" s="40">
        <v>3</v>
      </c>
      <c r="G28" s="41">
        <v>4000</v>
      </c>
      <c r="H28" s="41">
        <v>12000</v>
      </c>
    </row>
    <row r="29" ht="29.9" customHeight="1" spans="1:8">
      <c r="A29" s="39" t="s">
        <v>46</v>
      </c>
      <c r="B29" s="39" t="s">
        <v>927</v>
      </c>
      <c r="C29" s="39" t="s">
        <v>601</v>
      </c>
      <c r="D29" s="39" t="s">
        <v>928</v>
      </c>
      <c r="E29" s="37" t="s">
        <v>305</v>
      </c>
      <c r="F29" s="40">
        <v>2</v>
      </c>
      <c r="G29" s="41">
        <v>800</v>
      </c>
      <c r="H29" s="41">
        <v>1600</v>
      </c>
    </row>
    <row r="30" ht="29.9" customHeight="1" spans="1:8">
      <c r="A30" s="39" t="s">
        <v>46</v>
      </c>
      <c r="B30" s="39" t="s">
        <v>927</v>
      </c>
      <c r="C30" s="39" t="s">
        <v>601</v>
      </c>
      <c r="D30" s="39" t="s">
        <v>929</v>
      </c>
      <c r="E30" s="37" t="s">
        <v>305</v>
      </c>
      <c r="F30" s="40">
        <v>2</v>
      </c>
      <c r="G30" s="41">
        <v>800</v>
      </c>
      <c r="H30" s="41">
        <v>1600</v>
      </c>
    </row>
    <row r="31" ht="29.9" customHeight="1" spans="1:8">
      <c r="A31" s="39" t="s">
        <v>46</v>
      </c>
      <c r="B31" s="39" t="s">
        <v>927</v>
      </c>
      <c r="C31" s="39" t="s">
        <v>930</v>
      </c>
      <c r="D31" s="39" t="s">
        <v>614</v>
      </c>
      <c r="E31" s="37" t="s">
        <v>305</v>
      </c>
      <c r="F31" s="40">
        <v>2</v>
      </c>
      <c r="G31" s="41">
        <v>1500</v>
      </c>
      <c r="H31" s="41">
        <v>3000</v>
      </c>
    </row>
    <row r="32" ht="29.9" customHeight="1" spans="1:8">
      <c r="A32" s="39" t="s">
        <v>46</v>
      </c>
      <c r="B32" s="39" t="s">
        <v>927</v>
      </c>
      <c r="C32" s="39" t="s">
        <v>621</v>
      </c>
      <c r="D32" s="39" t="s">
        <v>931</v>
      </c>
      <c r="E32" s="37" t="s">
        <v>606</v>
      </c>
      <c r="F32" s="40">
        <v>1</v>
      </c>
      <c r="G32" s="41">
        <v>1500</v>
      </c>
      <c r="H32" s="41">
        <v>1500</v>
      </c>
    </row>
    <row r="33" ht="29.9" customHeight="1" spans="1:8">
      <c r="A33" s="39" t="s">
        <v>46</v>
      </c>
      <c r="B33" s="39" t="s">
        <v>927</v>
      </c>
      <c r="C33" s="39" t="s">
        <v>621</v>
      </c>
      <c r="D33" s="39" t="s">
        <v>638</v>
      </c>
      <c r="E33" s="37" t="s">
        <v>622</v>
      </c>
      <c r="F33" s="40">
        <v>2</v>
      </c>
      <c r="G33" s="41">
        <v>1500</v>
      </c>
      <c r="H33" s="41">
        <v>3000</v>
      </c>
    </row>
    <row r="34" ht="29.9" customHeight="1" spans="1:8">
      <c r="A34" s="39" t="s">
        <v>46</v>
      </c>
      <c r="B34" s="39" t="s">
        <v>927</v>
      </c>
      <c r="C34" s="39" t="s">
        <v>621</v>
      </c>
      <c r="D34" s="39" t="s">
        <v>620</v>
      </c>
      <c r="E34" s="37" t="s">
        <v>622</v>
      </c>
      <c r="F34" s="40">
        <v>10</v>
      </c>
      <c r="G34" s="41">
        <v>1500</v>
      </c>
      <c r="H34" s="41">
        <v>15000</v>
      </c>
    </row>
    <row r="35" ht="20.15" customHeight="1" spans="1:8">
      <c r="A35" s="37" t="s">
        <v>31</v>
      </c>
      <c r="B35" s="37"/>
      <c r="C35" s="37"/>
      <c r="D35" s="37"/>
      <c r="E35" s="37"/>
      <c r="F35" s="40">
        <v>64</v>
      </c>
      <c r="G35" s="41"/>
      <c r="H35" s="41">
        <v>349715</v>
      </c>
    </row>
  </sheetData>
  <mergeCells count="8">
    <mergeCell ref="A2:H2"/>
    <mergeCell ref="F4:H4"/>
    <mergeCell ref="A35:E35"/>
    <mergeCell ref="A4:A5"/>
    <mergeCell ref="B4:B5"/>
    <mergeCell ref="C4:C5"/>
    <mergeCell ref="D4:D5"/>
    <mergeCell ref="E4:E5"/>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K11"/>
  <sheetViews>
    <sheetView showZeros="0" workbookViewId="0">
      <selection activeCell="A1" sqref="A1"/>
    </sheetView>
  </sheetViews>
  <sheetFormatPr defaultColWidth="9.13888888888889" defaultRowHeight="14.25" customHeight="1"/>
  <cols>
    <col min="1" max="1" width="16.3148148148148" customWidth="1"/>
    <col min="2" max="2" width="29.0277777777778" customWidth="1"/>
    <col min="3" max="3" width="23.8518518518519" customWidth="1"/>
    <col min="4" max="7" width="19.6018518518519" customWidth="1"/>
    <col min="8" max="8" width="15.4259259259259" customWidth="1"/>
    <col min="9" max="11" width="19.6018518518519" customWidth="1"/>
  </cols>
  <sheetData>
    <row r="1" ht="13.5" customHeight="1" spans="4:11">
      <c r="D1" s="1"/>
      <c r="E1" s="1"/>
      <c r="F1" s="1"/>
      <c r="G1" s="1"/>
      <c r="K1" s="2" t="s">
        <v>932</v>
      </c>
    </row>
    <row r="2" ht="27.75" customHeight="1" spans="1:11">
      <c r="A2" s="27" t="s">
        <v>933</v>
      </c>
      <c r="B2" s="27"/>
      <c r="C2" s="27"/>
      <c r="D2" s="27"/>
      <c r="E2" s="27"/>
      <c r="F2" s="27"/>
      <c r="G2" s="27"/>
      <c r="H2" s="27"/>
      <c r="I2" s="27"/>
      <c r="J2" s="27"/>
      <c r="K2" s="27"/>
    </row>
    <row r="3" ht="13.5" customHeight="1" spans="1:11">
      <c r="A3" s="4" t="str">
        <f>"单位名称："&amp;"云南省文化和旅游厅"</f>
        <v>单位名称：云南省文化和旅游厅</v>
      </c>
      <c r="B3" s="5"/>
      <c r="C3" s="5"/>
      <c r="D3" s="5"/>
      <c r="E3" s="5"/>
      <c r="F3" s="5"/>
      <c r="G3" s="5"/>
      <c r="H3" s="6"/>
      <c r="I3" s="6"/>
      <c r="J3" s="6"/>
      <c r="K3" s="7" t="s">
        <v>144</v>
      </c>
    </row>
    <row r="4" ht="21.75" customHeight="1" spans="1:11">
      <c r="A4" s="8" t="s">
        <v>237</v>
      </c>
      <c r="B4" s="8" t="s">
        <v>155</v>
      </c>
      <c r="C4" s="8" t="s">
        <v>238</v>
      </c>
      <c r="D4" s="9" t="s">
        <v>156</v>
      </c>
      <c r="E4" s="9" t="s">
        <v>157</v>
      </c>
      <c r="F4" s="9" t="s">
        <v>158</v>
      </c>
      <c r="G4" s="9" t="s">
        <v>159</v>
      </c>
      <c r="H4" s="15" t="s">
        <v>31</v>
      </c>
      <c r="I4" s="10" t="s">
        <v>934</v>
      </c>
      <c r="J4" s="11"/>
      <c r="K4" s="12"/>
    </row>
    <row r="5" ht="21.75" customHeight="1" spans="1:11">
      <c r="A5" s="13"/>
      <c r="B5" s="13"/>
      <c r="C5" s="13"/>
      <c r="D5" s="14"/>
      <c r="E5" s="14"/>
      <c r="F5" s="14"/>
      <c r="G5" s="14"/>
      <c r="H5" s="28"/>
      <c r="I5" s="9" t="s">
        <v>34</v>
      </c>
      <c r="J5" s="9" t="s">
        <v>35</v>
      </c>
      <c r="K5" s="9" t="s">
        <v>36</v>
      </c>
    </row>
    <row r="6" ht="40.5" customHeight="1" spans="1:11">
      <c r="A6" s="16"/>
      <c r="B6" s="16"/>
      <c r="C6" s="16"/>
      <c r="D6" s="17"/>
      <c r="E6" s="17"/>
      <c r="F6" s="17"/>
      <c r="G6" s="17"/>
      <c r="H6" s="18"/>
      <c r="I6" s="17" t="s">
        <v>33</v>
      </c>
      <c r="J6" s="17"/>
      <c r="K6" s="17"/>
    </row>
    <row r="7" ht="15" customHeight="1" spans="1:11">
      <c r="A7" s="19">
        <v>1</v>
      </c>
      <c r="B7" s="19">
        <v>2</v>
      </c>
      <c r="C7" s="19">
        <v>3</v>
      </c>
      <c r="D7" s="19">
        <v>4</v>
      </c>
      <c r="E7" s="19">
        <v>5</v>
      </c>
      <c r="F7" s="19">
        <v>6</v>
      </c>
      <c r="G7" s="19">
        <v>7</v>
      </c>
      <c r="H7" s="19">
        <v>8</v>
      </c>
      <c r="I7" s="19">
        <v>9</v>
      </c>
      <c r="J7" s="33">
        <v>10</v>
      </c>
      <c r="K7" s="33">
        <v>11</v>
      </c>
    </row>
    <row r="8" ht="30.65" customHeight="1" spans="1:11">
      <c r="A8" s="29"/>
      <c r="B8" s="20" t="s">
        <v>935</v>
      </c>
      <c r="C8" s="29"/>
      <c r="D8" s="29"/>
      <c r="E8" s="29"/>
      <c r="F8" s="29"/>
      <c r="G8" s="29"/>
      <c r="H8" s="22">
        <v>3925800</v>
      </c>
      <c r="I8" s="22">
        <v>3925800</v>
      </c>
      <c r="J8" s="22"/>
      <c r="K8" s="22"/>
    </row>
    <row r="9" ht="30.65" customHeight="1" spans="1:11">
      <c r="A9" s="20" t="s">
        <v>247</v>
      </c>
      <c r="B9" s="20" t="s">
        <v>935</v>
      </c>
      <c r="C9" s="20" t="s">
        <v>46</v>
      </c>
      <c r="D9" s="20" t="s">
        <v>78</v>
      </c>
      <c r="E9" s="20" t="s">
        <v>79</v>
      </c>
      <c r="F9" s="20" t="s">
        <v>223</v>
      </c>
      <c r="G9" s="20" t="s">
        <v>224</v>
      </c>
      <c r="H9" s="22">
        <v>2000000</v>
      </c>
      <c r="I9" s="22">
        <v>2000000</v>
      </c>
      <c r="J9" s="22"/>
      <c r="K9" s="22"/>
    </row>
    <row r="10" ht="30.65" customHeight="1" spans="1:11">
      <c r="A10" s="20" t="s">
        <v>247</v>
      </c>
      <c r="B10" s="20" t="s">
        <v>935</v>
      </c>
      <c r="C10" s="20" t="s">
        <v>46</v>
      </c>
      <c r="D10" s="20" t="s">
        <v>78</v>
      </c>
      <c r="E10" s="20" t="s">
        <v>79</v>
      </c>
      <c r="F10" s="20" t="s">
        <v>229</v>
      </c>
      <c r="G10" s="20" t="s">
        <v>230</v>
      </c>
      <c r="H10" s="22">
        <v>1925800</v>
      </c>
      <c r="I10" s="22">
        <v>1925800</v>
      </c>
      <c r="J10" s="22"/>
      <c r="K10" s="22"/>
    </row>
    <row r="11" ht="18.75" customHeight="1" spans="1:11">
      <c r="A11" s="30" t="s">
        <v>119</v>
      </c>
      <c r="B11" s="31"/>
      <c r="C11" s="31"/>
      <c r="D11" s="31"/>
      <c r="E11" s="31"/>
      <c r="F11" s="31"/>
      <c r="G11" s="32"/>
      <c r="H11" s="22">
        <v>3925800</v>
      </c>
      <c r="I11" s="22">
        <v>3925800</v>
      </c>
      <c r="J11" s="22"/>
      <c r="K11" s="22"/>
    </row>
  </sheetData>
  <mergeCells count="15">
    <mergeCell ref="A2:K2"/>
    <mergeCell ref="A3:G3"/>
    <mergeCell ref="I4:K4"/>
    <mergeCell ref="A11:G11"/>
    <mergeCell ref="A4:A6"/>
    <mergeCell ref="B4:B6"/>
    <mergeCell ref="C4:C6"/>
    <mergeCell ref="D4:D6"/>
    <mergeCell ref="E4:E6"/>
    <mergeCell ref="F4:F6"/>
    <mergeCell ref="G4:G6"/>
    <mergeCell ref="H4:H6"/>
    <mergeCell ref="I5:I6"/>
    <mergeCell ref="J5:J6"/>
    <mergeCell ref="K5:K6"/>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sheetPr>
  <dimension ref="A1:G26"/>
  <sheetViews>
    <sheetView showZeros="0" workbookViewId="0">
      <selection activeCell="A1" sqref="A1 A1 A1 A1 A1 A1 A1"/>
    </sheetView>
  </sheetViews>
  <sheetFormatPr defaultColWidth="9.13888888888889" defaultRowHeight="14.25" customHeight="1" outlineLevelCol="6"/>
  <cols>
    <col min="1" max="1" width="37.7407407407407" customWidth="1"/>
    <col min="2" max="2" width="28" customWidth="1"/>
    <col min="3" max="3" width="37.6018518518519" customWidth="1"/>
    <col min="4" max="4" width="17.0277777777778" customWidth="1"/>
    <col min="5" max="7" width="27.0277777777778" customWidth="1"/>
  </cols>
  <sheetData>
    <row r="1" ht="13.5" customHeight="1" spans="4:7">
      <c r="D1" s="1"/>
      <c r="G1" s="2" t="s">
        <v>936</v>
      </c>
    </row>
    <row r="2" ht="27.75" customHeight="1" spans="1:7">
      <c r="A2" s="3" t="s">
        <v>937</v>
      </c>
      <c r="B2" s="3"/>
      <c r="C2" s="3"/>
      <c r="D2" s="3"/>
      <c r="E2" s="3"/>
      <c r="F2" s="3"/>
      <c r="G2" s="3"/>
    </row>
    <row r="3" ht="13.5" customHeight="1" spans="1:7">
      <c r="A3" s="4" t="str">
        <f>"单位名称："&amp;"云南省文化和旅游厅"</f>
        <v>单位名称：云南省文化和旅游厅</v>
      </c>
      <c r="B3" s="5"/>
      <c r="C3" s="5"/>
      <c r="D3" s="5"/>
      <c r="E3" s="6"/>
      <c r="F3" s="6"/>
      <c r="G3" s="7" t="s">
        <v>144</v>
      </c>
    </row>
    <row r="4" ht="21.75" customHeight="1" spans="1:7">
      <c r="A4" s="8" t="s">
        <v>238</v>
      </c>
      <c r="B4" s="8" t="s">
        <v>237</v>
      </c>
      <c r="C4" s="8" t="s">
        <v>155</v>
      </c>
      <c r="D4" s="9" t="s">
        <v>938</v>
      </c>
      <c r="E4" s="10" t="s">
        <v>34</v>
      </c>
      <c r="F4" s="11"/>
      <c r="G4" s="12"/>
    </row>
    <row r="5" ht="21.75" customHeight="1" spans="1:7">
      <c r="A5" s="13"/>
      <c r="B5" s="13"/>
      <c r="C5" s="13"/>
      <c r="D5" s="14"/>
      <c r="E5" s="15" t="s">
        <v>939</v>
      </c>
      <c r="F5" s="9" t="s">
        <v>940</v>
      </c>
      <c r="G5" s="9" t="s">
        <v>941</v>
      </c>
    </row>
    <row r="6" ht="40.5" customHeight="1" spans="1:7">
      <c r="A6" s="16"/>
      <c r="B6" s="16"/>
      <c r="C6" s="16"/>
      <c r="D6" s="17"/>
      <c r="E6" s="18"/>
      <c r="F6" s="17" t="s">
        <v>33</v>
      </c>
      <c r="G6" s="17"/>
    </row>
    <row r="7" ht="15" customHeight="1" spans="1:7">
      <c r="A7" s="19">
        <v>1</v>
      </c>
      <c r="B7" s="19">
        <v>2</v>
      </c>
      <c r="C7" s="19">
        <v>3</v>
      </c>
      <c r="D7" s="19">
        <v>4</v>
      </c>
      <c r="E7" s="19">
        <v>5</v>
      </c>
      <c r="F7" s="19">
        <v>6</v>
      </c>
      <c r="G7" s="19">
        <v>7</v>
      </c>
    </row>
    <row r="8" ht="29.9" customHeight="1" spans="1:7">
      <c r="A8" s="20" t="s">
        <v>46</v>
      </c>
      <c r="B8" s="21"/>
      <c r="C8" s="21"/>
      <c r="D8" s="20"/>
      <c r="E8" s="22">
        <v>355705600</v>
      </c>
      <c r="F8" s="22">
        <v>406149700</v>
      </c>
      <c r="G8" s="22">
        <v>317079700</v>
      </c>
    </row>
    <row r="9" ht="29.9" customHeight="1" spans="1:7">
      <c r="A9" s="20"/>
      <c r="B9" s="20" t="s">
        <v>942</v>
      </c>
      <c r="C9" s="20" t="s">
        <v>280</v>
      </c>
      <c r="D9" s="20" t="s">
        <v>943</v>
      </c>
      <c r="E9" s="22">
        <v>2000000</v>
      </c>
      <c r="F9" s="22">
        <v>2000000</v>
      </c>
      <c r="G9" s="22">
        <v>2000000</v>
      </c>
    </row>
    <row r="10" ht="29.9" customHeight="1" spans="1:7">
      <c r="A10" s="23"/>
      <c r="B10" s="20" t="s">
        <v>944</v>
      </c>
      <c r="C10" s="20" t="s">
        <v>285</v>
      </c>
      <c r="D10" s="20" t="s">
        <v>943</v>
      </c>
      <c r="E10" s="22">
        <v>9529900</v>
      </c>
      <c r="F10" s="22">
        <v>14510800</v>
      </c>
      <c r="G10" s="22">
        <v>14510800</v>
      </c>
    </row>
    <row r="11" ht="29.9" customHeight="1" spans="1:7">
      <c r="A11" s="23"/>
      <c r="B11" s="20" t="s">
        <v>945</v>
      </c>
      <c r="C11" s="20" t="s">
        <v>251</v>
      </c>
      <c r="D11" s="20" t="s">
        <v>943</v>
      </c>
      <c r="E11" s="22">
        <v>4200000</v>
      </c>
      <c r="F11" s="22">
        <v>4200000</v>
      </c>
      <c r="G11" s="22">
        <v>4200000</v>
      </c>
    </row>
    <row r="12" ht="29.9" customHeight="1" spans="1:7">
      <c r="A12" s="23"/>
      <c r="B12" s="20" t="s">
        <v>945</v>
      </c>
      <c r="C12" s="20" t="s">
        <v>276</v>
      </c>
      <c r="D12" s="20" t="s">
        <v>943</v>
      </c>
      <c r="E12" s="22">
        <v>4450000</v>
      </c>
      <c r="F12" s="22">
        <v>4450000</v>
      </c>
      <c r="G12" s="22">
        <v>4450000</v>
      </c>
    </row>
    <row r="13" ht="29.9" customHeight="1" spans="1:7">
      <c r="A13" s="23"/>
      <c r="B13" s="20" t="s">
        <v>946</v>
      </c>
      <c r="C13" s="20" t="s">
        <v>274</v>
      </c>
      <c r="D13" s="20" t="s">
        <v>943</v>
      </c>
      <c r="E13" s="22">
        <v>4800000</v>
      </c>
      <c r="F13" s="22">
        <v>4070000</v>
      </c>
      <c r="G13" s="22"/>
    </row>
    <row r="14" ht="29.9" customHeight="1" spans="1:7">
      <c r="A14" s="23"/>
      <c r="B14" s="20" t="s">
        <v>946</v>
      </c>
      <c r="C14" s="20" t="s">
        <v>254</v>
      </c>
      <c r="D14" s="20" t="s">
        <v>943</v>
      </c>
      <c r="E14" s="22">
        <v>2656400</v>
      </c>
      <c r="F14" s="22">
        <v>2656400</v>
      </c>
      <c r="G14" s="22">
        <v>2656400</v>
      </c>
    </row>
    <row r="15" ht="29.9" customHeight="1" spans="1:7">
      <c r="A15" s="23"/>
      <c r="B15" s="20" t="s">
        <v>946</v>
      </c>
      <c r="C15" s="20" t="s">
        <v>260</v>
      </c>
      <c r="D15" s="20" t="s">
        <v>943</v>
      </c>
      <c r="E15" s="22">
        <v>19250000</v>
      </c>
      <c r="F15" s="22">
        <v>19250000</v>
      </c>
      <c r="G15" s="22">
        <v>19250000</v>
      </c>
    </row>
    <row r="16" ht="29.9" customHeight="1" spans="1:7">
      <c r="A16" s="23"/>
      <c r="B16" s="20" t="s">
        <v>946</v>
      </c>
      <c r="C16" s="20" t="s">
        <v>256</v>
      </c>
      <c r="D16" s="20" t="s">
        <v>943</v>
      </c>
      <c r="E16" s="22">
        <v>2200000</v>
      </c>
      <c r="F16" s="22">
        <v>2200000</v>
      </c>
      <c r="G16" s="22">
        <v>2200000</v>
      </c>
    </row>
    <row r="17" ht="29.9" customHeight="1" spans="1:7">
      <c r="A17" s="23"/>
      <c r="B17" s="20" t="s">
        <v>947</v>
      </c>
      <c r="C17" s="20" t="s">
        <v>270</v>
      </c>
      <c r="D17" s="20" t="s">
        <v>943</v>
      </c>
      <c r="E17" s="22">
        <v>1600000</v>
      </c>
      <c r="F17" s="22">
        <v>1600000</v>
      </c>
      <c r="G17" s="22">
        <v>1600000</v>
      </c>
    </row>
    <row r="18" ht="29.9" customHeight="1" spans="1:7">
      <c r="A18" s="23"/>
      <c r="B18" s="20" t="s">
        <v>947</v>
      </c>
      <c r="C18" s="20" t="s">
        <v>272</v>
      </c>
      <c r="D18" s="20" t="s">
        <v>943</v>
      </c>
      <c r="E18" s="22">
        <v>28100000</v>
      </c>
      <c r="F18" s="22">
        <v>28100000</v>
      </c>
      <c r="G18" s="22">
        <v>28100000</v>
      </c>
    </row>
    <row r="19" ht="29.9" customHeight="1" spans="1:7">
      <c r="A19" s="23"/>
      <c r="B19" s="20" t="s">
        <v>947</v>
      </c>
      <c r="C19" s="20" t="s">
        <v>266</v>
      </c>
      <c r="D19" s="20" t="s">
        <v>943</v>
      </c>
      <c r="E19" s="22">
        <v>108806800</v>
      </c>
      <c r="F19" s="22">
        <v>160000000</v>
      </c>
      <c r="G19" s="22">
        <v>160000000</v>
      </c>
    </row>
    <row r="20" ht="29.9" customHeight="1" spans="1:7">
      <c r="A20" s="23"/>
      <c r="B20" s="20" t="s">
        <v>948</v>
      </c>
      <c r="C20" s="20" t="s">
        <v>791</v>
      </c>
      <c r="D20" s="20" t="s">
        <v>949</v>
      </c>
      <c r="E20" s="22">
        <v>21462500</v>
      </c>
      <c r="F20" s="22">
        <v>21462500</v>
      </c>
      <c r="G20" s="22">
        <v>21462500</v>
      </c>
    </row>
    <row r="21" ht="29.9" customHeight="1" spans="1:7">
      <c r="A21" s="23"/>
      <c r="B21" s="20" t="s">
        <v>948</v>
      </c>
      <c r="C21" s="20" t="s">
        <v>792</v>
      </c>
      <c r="D21" s="20" t="s">
        <v>949</v>
      </c>
      <c r="E21" s="22">
        <v>7450000</v>
      </c>
      <c r="F21" s="22">
        <v>7450000</v>
      </c>
      <c r="G21" s="22">
        <v>7450000</v>
      </c>
    </row>
    <row r="22" ht="29.9" customHeight="1" spans="1:7">
      <c r="A22" s="23"/>
      <c r="B22" s="20" t="s">
        <v>948</v>
      </c>
      <c r="C22" s="20" t="s">
        <v>793</v>
      </c>
      <c r="D22" s="20" t="s">
        <v>949</v>
      </c>
      <c r="E22" s="22">
        <v>5000000</v>
      </c>
      <c r="F22" s="22">
        <v>5000000</v>
      </c>
      <c r="G22" s="22">
        <v>5000000</v>
      </c>
    </row>
    <row r="23" ht="29.9" customHeight="1" spans="1:7">
      <c r="A23" s="23"/>
      <c r="B23" s="20" t="s">
        <v>948</v>
      </c>
      <c r="C23" s="20" t="s">
        <v>794</v>
      </c>
      <c r="D23" s="20" t="s">
        <v>949</v>
      </c>
      <c r="E23" s="22">
        <v>90000000</v>
      </c>
      <c r="F23" s="22">
        <v>85000000</v>
      </c>
      <c r="G23" s="22"/>
    </row>
    <row r="24" ht="29.9" customHeight="1" spans="1:7">
      <c r="A24" s="23"/>
      <c r="B24" s="20" t="s">
        <v>948</v>
      </c>
      <c r="C24" s="20" t="s">
        <v>795</v>
      </c>
      <c r="D24" s="20" t="s">
        <v>949</v>
      </c>
      <c r="E24" s="22">
        <v>15000000</v>
      </c>
      <c r="F24" s="22">
        <v>15000000</v>
      </c>
      <c r="G24" s="22">
        <v>15000000</v>
      </c>
    </row>
    <row r="25" ht="29.9" customHeight="1" spans="1:7">
      <c r="A25" s="23"/>
      <c r="B25" s="20" t="s">
        <v>948</v>
      </c>
      <c r="C25" s="20" t="s">
        <v>796</v>
      </c>
      <c r="D25" s="20" t="s">
        <v>949</v>
      </c>
      <c r="E25" s="22">
        <v>29200000</v>
      </c>
      <c r="F25" s="22">
        <v>29200000</v>
      </c>
      <c r="G25" s="22">
        <v>29200000</v>
      </c>
    </row>
    <row r="26" ht="18.75" customHeight="1" spans="1:7">
      <c r="A26" s="24" t="s">
        <v>31</v>
      </c>
      <c r="B26" s="25" t="s">
        <v>950</v>
      </c>
      <c r="C26" s="25"/>
      <c r="D26" s="26"/>
      <c r="E26" s="22">
        <v>355705600</v>
      </c>
      <c r="F26" s="22">
        <v>406149700</v>
      </c>
      <c r="G26" s="22">
        <v>317079700</v>
      </c>
    </row>
  </sheetData>
  <mergeCells count="11">
    <mergeCell ref="A2:G2"/>
    <mergeCell ref="A3:D3"/>
    <mergeCell ref="E4:G4"/>
    <mergeCell ref="A26:D26"/>
    <mergeCell ref="A4:A6"/>
    <mergeCell ref="B4:B6"/>
    <mergeCell ref="C4:C6"/>
    <mergeCell ref="D4:D6"/>
    <mergeCell ref="E5:E6"/>
    <mergeCell ref="F5:F6"/>
    <mergeCell ref="G5:G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部门财务收支预算总表01-1</vt:lpstr>
      <vt:lpstr>部门收入预算表01-2</vt:lpstr>
      <vt:lpstr>部门支出预算表01-3</vt:lpstr>
      <vt:lpstr>部门财政拨款收支预算总表02-1</vt:lpstr>
      <vt:lpstr>一般公共预算支出预算表02-2</vt:lpstr>
      <vt:lpstr>一般公共预算“三公”经费支出预算表03</vt:lpstr>
      <vt:lpstr>部门基本支出预算表04</vt:lpstr>
      <vt:lpstr>部门项目支出预算表05-1</vt:lpstr>
      <vt:lpstr>部门项目支出绩效目标表05-2</vt:lpstr>
      <vt:lpstr>部门政府性基金预算支出预算表06</vt:lpstr>
      <vt:lpstr>部门政府采购预算表07</vt:lpstr>
      <vt:lpstr>部门政府购买服务预算表08</vt:lpstr>
      <vt:lpstr>省对下转移支付预算表09-1</vt:lpstr>
      <vt:lpstr>省对下转移支付绩效目标表09-2</vt:lpstr>
      <vt:lpstr>新增资产配置表10</vt:lpstr>
      <vt:lpstr>中央转移支付补助项目支出预算表11</vt:lpstr>
      <vt:lpstr>部门项目中期规划预算表12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KM0433</cp:lastModifiedBy>
  <dcterms:created xsi:type="dcterms:W3CDTF">2025-02-12T09:44:56Z</dcterms:created>
  <dcterms:modified xsi:type="dcterms:W3CDTF">2025-02-12T09:45:43Z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62035A67C56C418485EC74DE4C4C0FF4_13</vt:lpwstr>
  </property>
  <property fmtid="{D5CDD505-2E9C-101B-9397-08002B2CF9AE}" pid="3" name="KSOProductBuildVer">
    <vt:lpwstr>2052-12.1.0.19770</vt:lpwstr>
  </property>
</Properties>
</file>